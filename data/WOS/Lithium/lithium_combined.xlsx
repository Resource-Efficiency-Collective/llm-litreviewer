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mitc0415/Documents/Cambridge/git/llm-litreview-submit/llm-litreviewer/data/WOS/Lithium/"/>
    </mc:Choice>
  </mc:AlternateContent>
  <xr:revisionPtr revIDLastSave="0" documentId="13_ncr:1_{E40809CC-9124-994F-AA16-0F5BDCB8C9C5}" xr6:coauthVersionLast="47" xr6:coauthVersionMax="47" xr10:uidLastSave="{00000000-0000-0000-0000-000000000000}"/>
  <bookViews>
    <workbookView xWindow="160" yWindow="920" windowWidth="26440" windowHeight="18560" xr2:uid="{ACF2F299-16DD-0A40-B57D-F5EFBCB8DD6E}"/>
  </bookViews>
  <sheets>
    <sheet name="lithium_combined" sheetId="1" r:id="rId1"/>
  </sheets>
  <definedNames>
    <definedName name="_xlnm._FilterDatabase" localSheetId="0" hidden="1">lithium_combined!$V$1:$V$201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201" i="1" l="1"/>
  <c r="BG201" i="1"/>
  <c r="BU200" i="1"/>
  <c r="BG200" i="1"/>
  <c r="BU91" i="1"/>
  <c r="BG91" i="1"/>
  <c r="BU90" i="1"/>
  <c r="BG90" i="1"/>
  <c r="BU89" i="1"/>
  <c r="BG89" i="1"/>
  <c r="BU88" i="1"/>
  <c r="BG88" i="1"/>
  <c r="BU87" i="1"/>
  <c r="BG87" i="1"/>
  <c r="BU86" i="1"/>
  <c r="BG86" i="1"/>
  <c r="BU85" i="1"/>
  <c r="BG85" i="1"/>
  <c r="BU84" i="1"/>
  <c r="BG84" i="1"/>
  <c r="BU83" i="1"/>
  <c r="BG83" i="1"/>
  <c r="BU82" i="1"/>
  <c r="BG82" i="1"/>
  <c r="BU81" i="1"/>
  <c r="BG81" i="1"/>
  <c r="BU80" i="1"/>
  <c r="BG80" i="1"/>
  <c r="BU79" i="1"/>
  <c r="BG79" i="1"/>
  <c r="BU78" i="1"/>
  <c r="BG78" i="1"/>
  <c r="BU77" i="1"/>
  <c r="BG77" i="1"/>
  <c r="BU76" i="1"/>
  <c r="BG76" i="1"/>
  <c r="BU75" i="1"/>
  <c r="BU74" i="1"/>
  <c r="BG74" i="1"/>
  <c r="BU73" i="1"/>
  <c r="BG73" i="1"/>
  <c r="BU72" i="1"/>
  <c r="BG72" i="1"/>
  <c r="BU71" i="1"/>
  <c r="BG71" i="1"/>
  <c r="BU70" i="1"/>
  <c r="BG70" i="1"/>
  <c r="BU69" i="1"/>
  <c r="BG69" i="1"/>
  <c r="BU68" i="1"/>
  <c r="BG68" i="1"/>
  <c r="BU67" i="1"/>
  <c r="BG67" i="1"/>
  <c r="BU66" i="1"/>
  <c r="BG66" i="1"/>
  <c r="BU65" i="1"/>
  <c r="BG65" i="1"/>
  <c r="BU64" i="1"/>
  <c r="BG64" i="1"/>
  <c r="BU63" i="1"/>
  <c r="BG63" i="1"/>
  <c r="BU62" i="1"/>
  <c r="BG62" i="1"/>
  <c r="BU61" i="1"/>
  <c r="BG61" i="1"/>
  <c r="BU60" i="1"/>
  <c r="BG60" i="1"/>
  <c r="BU59" i="1"/>
  <c r="BG59" i="1"/>
  <c r="BU58" i="1"/>
  <c r="BG58" i="1"/>
  <c r="BU57" i="1"/>
  <c r="BG57" i="1"/>
  <c r="BU56" i="1"/>
  <c r="BG56" i="1"/>
  <c r="BU55" i="1"/>
  <c r="BG55" i="1"/>
  <c r="BU54" i="1"/>
  <c r="BG54" i="1"/>
  <c r="BU53" i="1"/>
  <c r="BG53" i="1"/>
  <c r="BU52" i="1"/>
  <c r="BG52" i="1"/>
  <c r="BU51" i="1"/>
  <c r="BG51" i="1"/>
  <c r="BU50" i="1"/>
  <c r="BG50" i="1"/>
  <c r="BU49" i="1"/>
  <c r="BG49" i="1"/>
  <c r="BU48" i="1"/>
  <c r="BG48" i="1"/>
  <c r="BU47" i="1"/>
  <c r="BG47" i="1"/>
  <c r="BU46" i="1"/>
  <c r="BG46" i="1"/>
  <c r="BU45" i="1"/>
  <c r="BG45" i="1"/>
  <c r="BU44" i="1"/>
  <c r="BG44" i="1"/>
  <c r="BU43" i="1"/>
  <c r="BG43" i="1"/>
  <c r="BU42" i="1"/>
  <c r="BG42" i="1"/>
  <c r="BU41" i="1"/>
  <c r="BG41" i="1"/>
  <c r="BU40" i="1"/>
  <c r="BG40" i="1"/>
  <c r="BU39" i="1"/>
  <c r="BG39" i="1"/>
  <c r="BU38" i="1"/>
  <c r="BG38" i="1"/>
  <c r="BU37" i="1"/>
  <c r="BG37" i="1"/>
  <c r="BU36" i="1"/>
  <c r="BU35" i="1"/>
  <c r="BG35" i="1"/>
  <c r="BU34" i="1"/>
  <c r="BG34" i="1"/>
  <c r="BU33" i="1"/>
  <c r="BG33" i="1"/>
  <c r="BU32" i="1"/>
  <c r="BG32" i="1"/>
  <c r="BU31" i="1"/>
  <c r="BG31" i="1"/>
  <c r="BU30" i="1"/>
  <c r="BG30" i="1"/>
  <c r="BU29" i="1"/>
  <c r="BG29" i="1"/>
  <c r="BU28" i="1"/>
  <c r="BG28" i="1"/>
  <c r="BU27" i="1"/>
  <c r="BG27" i="1"/>
  <c r="BU26" i="1"/>
  <c r="BG26" i="1"/>
  <c r="BU25" i="1"/>
  <c r="BU24" i="1"/>
  <c r="BG24" i="1"/>
  <c r="BU23" i="1"/>
  <c r="BG23" i="1"/>
  <c r="BU22" i="1"/>
  <c r="BG22" i="1"/>
  <c r="BU21" i="1"/>
  <c r="BG21" i="1"/>
  <c r="BU20" i="1"/>
  <c r="BG20" i="1"/>
  <c r="BU19" i="1"/>
  <c r="BG19" i="1"/>
  <c r="BU18" i="1"/>
  <c r="BG18" i="1"/>
  <c r="BU17" i="1"/>
  <c r="BG17" i="1"/>
  <c r="BU16" i="1"/>
  <c r="BG16" i="1"/>
  <c r="BU15" i="1"/>
  <c r="BG15" i="1"/>
  <c r="BU14" i="1"/>
  <c r="BG14" i="1"/>
  <c r="BU13" i="1"/>
  <c r="BG13" i="1"/>
  <c r="BU12" i="1"/>
  <c r="BG12" i="1"/>
  <c r="BU11" i="1"/>
  <c r="BG11" i="1"/>
  <c r="BU10" i="1"/>
  <c r="BG10" i="1"/>
  <c r="BU9" i="1"/>
  <c r="BG9" i="1"/>
  <c r="BU8" i="1"/>
  <c r="BG8" i="1"/>
  <c r="BU7" i="1"/>
  <c r="BG7" i="1"/>
  <c r="BU6" i="1"/>
  <c r="BG6" i="1"/>
  <c r="BU5" i="1"/>
  <c r="BG5" i="1"/>
  <c r="BU4" i="1"/>
  <c r="BG4" i="1"/>
  <c r="BU3" i="1"/>
  <c r="BG3" i="1"/>
  <c r="BU2" i="1"/>
  <c r="BG2" i="1"/>
</calcChain>
</file>

<file path=xl/sharedStrings.xml><?xml version="1.0" encoding="utf-8"?>
<sst xmlns="http://schemas.openxmlformats.org/spreadsheetml/2006/main" count="12623" uniqueCount="3266">
  <si>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</si>
  <si>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</si>
  <si>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</si>
  <si>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</si>
  <si>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</si>
  <si>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</si>
  <si>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</si>
  <si>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</si>
  <si>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</si>
  <si>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</si>
  <si>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</si>
  <si>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</si>
  <si>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</si>
  <si>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</si>
  <si>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</si>
  <si>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</si>
  <si>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</si>
  <si>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</si>
  <si>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</si>
  <si>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</si>
  <si>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</si>
  <si>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</si>
  <si>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</si>
  <si>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</si>
  <si>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</si>
  <si>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</si>
  <si>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</si>
  <si>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</si>
  <si>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</si>
  <si>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</si>
  <si>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</si>
  <si>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</si>
  <si>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</si>
  <si>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</si>
  <si>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</si>
  <si>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</si>
  <si>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</si>
  <si>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</si>
  <si>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</si>
  <si>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</si>
  <si>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</si>
  <si>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</si>
  <si>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</si>
  <si>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</si>
  <si>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</si>
  <si>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</si>
  <si>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</si>
  <si>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</si>
  <si>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</si>
  <si>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</si>
  <si>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</si>
  <si>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</si>
  <si>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</si>
  <si>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</si>
  <si>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</si>
  <si>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</si>
  <si>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</si>
  <si>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</si>
  <si>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</si>
  <si>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</si>
  <si>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</si>
  <si>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</si>
  <si>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</si>
  <si>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</si>
  <si>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</si>
  <si>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</si>
  <si>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</si>
  <si>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</si>
  <si>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</si>
  <si>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</si>
  <si>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</si>
  <si>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</si>
  <si>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</si>
  <si>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Lou, GX; Wang, HX; Tu, XC; Lai, ZX; Ma, HC; Ying, SS</t>
  </si>
  <si>
    <t/>
  </si>
  <si>
    <t>Lou, Gaoxiang; Wang, Huaxin; Tu, Xuechen; Lai, Zhixuan; Ma, Haicheng; Ying, Shanshan</t>
  </si>
  <si>
    <t>Resilience assessment of the electric vehicle lithium-ion battery supply chain under supply shortages of upstream mineral enterprises</t>
  </si>
  <si>
    <t>RESOURCES CONSERVATION AND RECYCLING</t>
  </si>
  <si>
    <t>Article</t>
  </si>
  <si>
    <t>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t>
  </si>
  <si>
    <t>[Lou, Gaoxiang; Wang, Huaxin; Tu, Xuechen] East China Univ Sci &amp; Technol, Sch Business, Shanghai 200237, Peoples R China; [Lai, Zhixuan] Shanghai Lixin Univ Accounting &amp; Finance, Sch Financial Technol, Shanghai, Peoples R China; [Ma, Haicheng] Beijing Inst Technol, Ctr Energy &amp; Environm Policy Res, Beijing, Peoples R China; [Ma, Haicheng] Beijing Inst Technol, Sch Management, Beijing, Peoples R China; [Ying, Shanshan] Shanghai Univ Finance &amp; Econ, Inst Free Trade Zone Studies, Shanghai, Peoples R China</t>
  </si>
  <si>
    <t>Wang, HX (corresponding author), East China Univ Sci &amp; Technol, Sch Business, Shanghai 200237, Peoples R China.</t>
  </si>
  <si>
    <t>Y30231354@mail.ecust.edu.cn</t>
  </si>
  <si>
    <t>APR</t>
  </si>
  <si>
    <t>10.1016/j.resconrec.2025.108161</t>
  </si>
  <si>
    <t>FEB 2025</t>
  </si>
  <si>
    <t>2026-05-19</t>
  </si>
  <si>
    <t>WOS:001423636000001</t>
  </si>
  <si>
    <t>Cheng, AL; Fuchs, ERH; Karplus, VJ; Michalek, JJ</t>
  </si>
  <si>
    <t>Cheng, Anthony L.; Fuchs, Erica R. H.; Karplus, Valerie J.; Michalek, Jeremy J.</t>
  </si>
  <si>
    <t>Electric vehicle battery chemistry affects supply chain disruption vulnerabilities</t>
  </si>
  <si>
    <t>NATURE COMMUNICATIONS</t>
  </si>
  <si>
    <t>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flow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Electric vehicle battery supply chains are currently vulnerable to supply disruptions in China, but research shows that the cumulative effect of multiple supply chain steps creates additional vulnerabilities across multiple critical battery minerals.</t>
  </si>
  <si>
    <t>[Cheng, Anthony L.; Fuchs, Erica R. H.; Karplus, Valerie J.; Michalek, Jeremy J.] Carnegie Mellon Univ, Dept Engn &amp; Publ Policy, Pittsburgh, PA 15213 USA; [Karplus, Valerie J.] Carnegie Mellon Univ, Wilton E Scott Inst Energy Innovat, Pittsburgh, PA USA; [Michalek, Jeremy J.] Carnegie Mellon Univ, Dept Mech Engn, Pittsburgh, PA 15213 USA; [Michalek, Jeremy J.] Carnegie Mellon Univ, Dept Civil &amp; Environm Engn, Pittsburgh, PA 15213 USA</t>
  </si>
  <si>
    <t>Michalek, JJ (corresponding author), Carnegie Mellon Univ, Dept Engn &amp; Publ Policy, Pittsburgh, PA 15213 USA.;Michalek, JJ (corresponding author), Carnegie Mellon Univ, Dept Mech Engn, Pittsburgh, PA 15213 USA.;Michalek, JJ (corresponding author), Carnegie Mellon Univ, Dept Civil &amp; Environm Engn, Pittsburgh, PA 15213 USA.</t>
  </si>
  <si>
    <t>jmichalek@cmu.edu</t>
  </si>
  <si>
    <t>MAR 8</t>
  </si>
  <si>
    <t>10.1038/s41467-024-46418-1</t>
  </si>
  <si>
    <t>Y</t>
  </si>
  <si>
    <t>WOS:001181488200011</t>
  </si>
  <si>
    <t>Mu, D; Ren, HY; Wang, C; Yue, XP; Du, JB; Ghadimi, P</t>
  </si>
  <si>
    <t>Mu, Dong; Ren, Huanyu; Wang, Chao; Yue, Xiongping; Du, Jianbang; Ghadimi, Pezhman</t>
  </si>
  <si>
    <t>Structural characteristics and disruption ripple effect in a meso-level electric vehicle Lithium-ion battery supply chain network</t>
  </si>
  <si>
    <t>RESOURCES POLICY</t>
  </si>
  <si>
    <t>Lithium-ion batteries (LIBs) have attracted widespread attention due to their crucial role in determining the performance of electric vehicles (EVs). The global EV LIB supply chain network is susceptible to disruptions as the activities of relevant firms are increasingly international, intricate, and interdependent. Existing research on the disruption risks in the EV LIB supply chain network is limited, and the detected threats rely on macro-level analyses of international trade data. To fill this gap, this study constructs a meso-level EV LIB supply chain network based on the supplier-buyer relationship data of significant EV LIB firms from 2016 to 2020. The hidden disruption risks are investigated regarding supply chain network structural characteristics and disruption ripple effects. First, the evolution of critical structural characteristics of the EV LIB supply network is presented to identify the systematic disruption risks. Second, the scale and persistence of the disruption ripple effect in two realistic scenarios, i.e., single-firm disruption and interfirm transaction breakdown, are dynamically assessed. The results show that the global EV LIB supply chain network has a hub-and-spoke structure with a robust yet fragile characteristic and is dominated by focal battery manufacturers from China, Japan, and South Korea. In addition, hidden risky sources among EV LIB firms and interfirm transactions are identified. The results can support EV LIB-related firms by better understanding the supply chain network characteristics to cope with the ripple effects of disruptions.</t>
  </si>
  <si>
    <t>[Mu, Dong; Ren, Huanyu; Yue, Xiongping] Beijing Jiaotong Univ, Sch Econ &amp; Management, Beijing, Peoples R China; [Wang, Chao] Beijing Univ Technol, Coll Econ &amp; Management, Res Base Beijing Modern Mfg Dev, Beijing, Peoples R China; [Du, Jianbang] Texas A&amp;M Univ Transportat Inst, Bryan, TX 77807 USA; [Ghadimi, Pezhman] Univ Coll Dublin, Sch Mech &amp; Mat Engn, Lab Adv Mfg Simulat &amp; Robot, Dublin 4, Ireland</t>
  </si>
  <si>
    <t>Ren, HY (corresponding author), Beijing Jiaotong Univ, Sch Econ &amp; Management, Beijing, Peoples R China.</t>
  </si>
  <si>
    <t>19113044@bjtu.edu.cn</t>
  </si>
  <si>
    <t>JAN</t>
  </si>
  <si>
    <t>10.1016/j.resourpol.2022.103225</t>
  </si>
  <si>
    <t>DEC 2022</t>
  </si>
  <si>
    <t>WOS:000901572600001</t>
  </si>
  <si>
    <t>Ren, HY; Mu, D; Wang, C; Yue, XP; Li, ZL; Du, JB; Zhao, LF; Lim, MK</t>
  </si>
  <si>
    <t>Ren, Huanyu; Mu, Dong; Wang, Chao; Yue, Xiongping; Li, Zhenglong; Du, Jianbang; Zhao, Longfeng; Lim, Ming K.</t>
  </si>
  <si>
    <t>Vulnerability to geopolitical disruptions of the global electric vehicle lithium-ion battery supply chain network</t>
  </si>
  <si>
    <t>COMPUTERS &amp; INDUSTRIAL ENGINEERING</t>
  </si>
  <si>
    <t>In the rapidly expanding global electric vehicle lithium -ion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 -level material flow data, offer limited guidance for EV LIB -associated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 -region blockade and inter -region blockade. This study broadens the scope of EV LIB SCN investigations from macro- to meso-level analyses, and the evaluation of both direct and indirect impacts of geopolitical disruptions enhances comprehension of geopolitical disruption risks in global supply chain networks.</t>
  </si>
  <si>
    <t>[Ren, Huanyu] Jimei Univ, Nav Inst, Xiamen, Fujian, Peoples R China; [Ren, Huanyu; Mu, Dong; Li, Zhenglong] Beijing Jiaotong Univ, Sch Econ &amp; Management, Beijing, Peoples R China; [Wang, Chao] Beijing Univ Technol, Coll Econ &amp; Management, Beijing, Peoples R China; [Yue, Xiongping] Wuhan Polytech Univ, Sch Management, Wuhan, Peoples R China; [Du, Jianbang] Texas A&amp;M Transportat Inst, Bryan, TX 77807 USA; [Zhao, Longfeng] Northwestern Polytech Univ, Sch Management, Xian, Peoples R China; [Lim, Ming K.] Univ Glasgow, Adam Smith Business Sch, Glasgow, Scotland</t>
  </si>
  <si>
    <t>Mu, D (corresponding author), Beijing Jiaotong Univ, Sch Econ &amp; Management, Beijing, Peoples R China.;Wang, C (corresponding author), Beijing Univ Technol, Coll Econ &amp; Management, Beijing, Peoples R China.</t>
  </si>
  <si>
    <t>dmu@bjtu.edu.cn; chaowanghn@vip.163.com</t>
  </si>
  <si>
    <t>FEB</t>
  </si>
  <si>
    <t>10.1016/j.cie.2024.109919</t>
  </si>
  <si>
    <t>JAN 2024</t>
  </si>
  <si>
    <t>WOS:001173936700001</t>
  </si>
  <si>
    <t>He, HZ; Brush, T; Cai, H; Thakkar, D; Dunlop, S; Biller, S</t>
  </si>
  <si>
    <t>He, Hazel; Brush, Thomas; Cai, Hua; Thakkar, Dutt; Dunlop, Steve; Biller, Stephan</t>
  </si>
  <si>
    <t>Developing a strategic supply chain resiliency index: an assessment of the global lithium supply for US automotive EV battery production</t>
  </si>
  <si>
    <t>INTERNATIONAL JOURNAL OF PRODUCTION RESEARCH</t>
  </si>
  <si>
    <t>While the importance of improving supply chain resilience (SCR) is gaining increasing recognition, measuring it remains challenging. Existing literature focuses on modelling operational SCR, emphasising post-disruption impact and recovery, but lacks practical tools and metrics for assessing resilience from a strategic perspective. Strategic decisions, such as supply network design and strategy for selecting suppliers, are critical to mitigate disruption risks and impacts. To address this gap, we propose a supply chain strategic resiliency index (SRI) to comprehensively measure strategic SCR. The index integrates the consideration of supply network structure, supplier reliability (especially geopolitical risks), and each supplier's contribution of material flow into a unified metric. Such an index can serve three primary purposes: (1) benchmarking the resilience of the existing supply chain, (2) evaluating the impact of strategic supply chain management decisions, and (3) assessing the resilience impact of new technology developments. As a use case, we analyzed the lithium supply chain of U.S. electric vehicle manufacturers, utilising real-world lithium imports and vehicle production data. Our results show that automakers are increasing their SCR, as exemplified by General Motors' SRI increase from 27 in 2022 to 59 in 2023, and further to 65 in 2024.</t>
  </si>
  <si>
    <t>[He, Hazel; Cai, Hua; Biller, Stephan] Purdue Univ, Edwardson Sch Ind Engn, W Lafayette, IN 47907 USA; [Brush, Thomas; Biller, Stephan] Purdue Univ, Mitch Daniels Sch Business, W Lafayette, IN 47907 USA; [Cai, Hua] Purdue Univ, Sch Sustainabil Engn &amp; Environm Engn, W Lafayette, IN USA; [Thakkar, Dutt; Dunlop, Steve; Biller, Stephan] Purdue Univ, Dauch Ctr, Mitch Daniels Sch Business, W Lafayette, IN 47907 USA</t>
  </si>
  <si>
    <t>Cai, H; Biller, S (corresponding author), Purdue Univ, Edwardson Sch Ind Engn, W Lafayette, IN 47907 USA.;Biller, S (corresponding author), Purdue Univ, Mitch Daniels Sch Business, W Lafayette, IN 47907 USA.;Biller, S (corresponding author), Purdue Univ, Dauch Ctr, Mitch Daniels Sch Business, W Lafayette, IN 47907 USA.;Cai, H (corresponding author), Purdue Univ, Environm &amp; Ecol Engn, W Lafayette, IN 47907 USA.</t>
  </si>
  <si>
    <t>huacai@purdue.edu; sbiller@purdue.edu</t>
  </si>
  <si>
    <t>JAN 2</t>
  </si>
  <si>
    <t>10.1080/00207543.2025.2534842</t>
  </si>
  <si>
    <t>JUL 2025</t>
  </si>
  <si>
    <t>WOS:001532721300001</t>
  </si>
  <si>
    <t>Xu, JY; Gu, JT; Zhang, TY; Wang, C; An, KX</t>
  </si>
  <si>
    <t>Xu, Junyuan; Gu, Jiting; Zhang, Tianyi; Wang, Can; An, Kangxin</t>
  </si>
  <si>
    <t>Uncovering the impact of trade-related lithium supply risks on China's power system decarbonization</t>
  </si>
  <si>
    <t>JOURNAL OF CLEANER PRODUCTION</t>
  </si>
  <si>
    <t>Growing dependence on critical minerals sourced through international trade has introduced new vulnerabilities to power system decarbonization. For countries with limited domestic resources, trade-related supply disruptions and price volatility can directly affect the deployment of clean energy technologies. China, as the world's largest renewable energy market and a major importer of lithium, is increasingly exposed to such risks. However, existing studies rarely quantify how trade-related mineral supply risks shape power system transitions under dynamic market and price responses. This study develops an integrated framework that couples a System Dynamics model of the lithium market with a power system optimization model, enabling year-by-year feedback between mineral supply conditions, price adjustments, and clean technology deployment. Focusing on lithium as a critical input for energy storage, the framework is applied to China's power system transition under rapid demand growth and import disruption scenarios. Results show that lithium demand from the power system could increase by 4.3-57.8 times between 2020 and 2060, placing substantial pressure on supply. Under supplydemand imbalances, lithium prices rise persistently from 2025, reaching up to five times the unconstrained level by 2050, leading to a 10.6% reduction in cumulative battery deployment and a 0.43% increase in total transition costs. Temporary import disruptions further amplify these effects, raising lithium prices by 5.8-29% and constraining storage deployment during critical expansion periods. These findings underscore the importance of explicitly incorporating trade-related mineral supply risks into long-term power system planning and demonstrate the framework's applicability for analyzing energy transitions under international trade uncertainty.</t>
  </si>
  <si>
    <t>[Xu, Junyuan; Zhang, Tianyi; Wang, Can; An, Kangxin] Tsinghua Univ, Sch Environm, Beijing 100084, Peoples R China; [Xu, Junyuan; Zhang, Tianyi; Wang, Can; An, Kangxin] Tsinghua Univ, State Key Lab Reg Environm &amp; Sustainabil, Beijing 100084, Peoples R China; [Gu, Jiting] Zhejiang Elect Power Co, Econ Res Inst State Grid, Hangzhou 310020, Peoples R China</t>
  </si>
  <si>
    <t>An, KX (corresponding author), Tsinghua Univ, Sch Environm, Beijing 100084, Peoples R China.</t>
  </si>
  <si>
    <t>akx21@mails.tsinghua.edu.cn</t>
  </si>
  <si>
    <t>MAR 18</t>
  </si>
  <si>
    <t>10.1016/j.jclepro.2026.147885</t>
  </si>
  <si>
    <t>WOS:001715342900001</t>
  </si>
  <si>
    <t>Yang, YR; Sun, X</t>
  </si>
  <si>
    <t>Yang, Yiran; Sun, Xin</t>
  </si>
  <si>
    <t>Evaluating multi-dimensional risks embodied in the global supply chain of lithium-ion batteries</t>
  </si>
  <si>
    <t>RESOURCES CONSERVATION &amp; RECYCLING ADVANCES</t>
  </si>
  <si>
    <t>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t>
  </si>
  <si>
    <t>[Yang, Yiran] Cornell Univ, Dept City &amp; Reg Planning, Ithaca, NY 14850 USA; [Sun, Xin] Univ Groningen, Energy &amp; Sustainabil Res Inst Groningen ESRIG, Integrated Res Energy Environm &amp; Soc IREES, NL-9747AG Groningen, Netherlands</t>
  </si>
  <si>
    <t>Sun, X (corresponding author), Univ Groningen, Energy &amp; Sustainabil Res Inst Groningen ESRIG, Integrated Res Energy Environm &amp; Soc IREES, NL-9747AG Groningen, Netherlands.</t>
  </si>
  <si>
    <t>xin.sun@rug.nl</t>
  </si>
  <si>
    <t>SEP</t>
  </si>
  <si>
    <t>10.1016/j.rcradv.2025.200266</t>
  </si>
  <si>
    <t>JUN 2025</t>
  </si>
  <si>
    <t>WOS:001519913500001</t>
  </si>
  <si>
    <t>Ouyang, X; Liu, LT; Chen, W; Wang, C; Sun, X; He, CF; Liu, G</t>
  </si>
  <si>
    <t>Ouyang, Xin; Liu, Litao; Chen, Wu; Wang, Chao; Sun, Xin; He, Canfei; Liu, Gang</t>
  </si>
  <si>
    <t>Systematic Risks of the Global Lithium Supply Chain Network: From Static Topological Structures to Cascading Failure Dynamics</t>
  </si>
  <si>
    <t>ENVIRONMENTAL SCIENCE &amp; TECHNOLOGY</t>
  </si>
  <si>
    <t>Recent years have seen increasing concerns on supply chain risks of lithium, a critical material for achieving e-mobility transition and climate ambitions. These risks propagate both along the life cycle and across national boundaries in a multilayer network. However, most previous studies are either only based on static network measures or focused on individual layers, ignoring dynamic cascading risks and interconnected and interdependent relationships along life cycle stages and across economies. Here, we integrated trade-linked material flow and complex network analyses to investigate intricate interconnections, interdependencies, and systematic risks of the global lithium supply chain. Both static and dynamic measures of the global lithium supply chain network exhibit a robust-yet-fragile property: robust for random shocks yet fragile for targeted shocks and robust for small or local disruptions yet fragile for large or cascading failures. Portugal, Brazil, Singapore, Canada, Finland, Norway, South Africa, Israel, Hungary, and the United Arab Emirates are most likely to be affected by supply disruptions. A hypothetical USA-China trade decoupling will increase the severity and susceptibility of network-wide failures by around 5%. Our results call for global collaborations and collective efforts to balance efficiency and security and avoid a zero-sum game in securing the lithium supply chain.</t>
  </si>
  <si>
    <t>[Ouyang, Xin; Liu, Litao] Chinese Acad Sci, Inst Geog Sci &amp; Nat Resources Res, Beijing 100101, Peoples R China; [Ouyang, Xin; Liu, Litao] Univ Chinese Acad Sci, Beijing 100049, Peoples R China; [Ouyang, Xin; He, Canfei; Liu, Gang] Peking Univ, Coll Urban &amp; Environm Sci, Beijing 100871, Peoples R China; [Chen, Wu] Univ Southern Denmark, Dept Green Technol, SDU Life Cycle Engn, DK-5230 Odense, Denmark; [Wang, Chao] Beijing Univ Technol, Coll Econ &amp; Management, Beijing 100124, Peoples R China; [Sun, Xin] Univ Groningen, Energy &amp; Sustainabil Res Inst Groningen ESRIG, Integrated Res Energy Environm &amp; Soc IREES, NL-9747 AG Groningen, Netherlands; [Liu, Gang] Peking Univ, Inst Carbon Neutral, Beijing 100871, Peoples R China</t>
  </si>
  <si>
    <t>Liu, G (corresponding author), Peking Univ, Coll Urban &amp; Environm Sci, Beijing 100871, Peoples R China.;Sun, X (corresponding author), Univ Groningen, Energy &amp; Sustainabil Res Inst Groningen ESRIG, Integrated Res Energy Environm &amp; Soc IREES, NL-9747 AG Groningen, Netherlands.;Liu, G (corresponding author), Peking Univ, Inst Carbon Neutral, Beijing 100871, Peoples R China.</t>
  </si>
  <si>
    <t>xin.sun@rug.nl; gangliu@pku.edu.cn</t>
  </si>
  <si>
    <t>DEC 6</t>
  </si>
  <si>
    <t>10.1021/acs.est.4c10523</t>
  </si>
  <si>
    <t>DEC 2024</t>
  </si>
  <si>
    <t>WOS:001372143700001</t>
  </si>
  <si>
    <t>Sun, X; Hao, H; Hartmann, P; Liu, ZW; Zhao, FQ</t>
  </si>
  <si>
    <t>Sun, Xin; Hao, Han; Hartmann, Philipp; Liu, Zongwei; Zhao, Fuquan</t>
  </si>
  <si>
    <t>Supply risks of lithium-ion battery materials: An entire supply chain estimation</t>
  </si>
  <si>
    <t>MATERIALS TODAY ENERGY</t>
  </si>
  <si>
    <t>Lithium-ion batteries, as the essential technology for global energy transition, require the combined support of several metallic resources and the complicated supply chains that follow. The risk of supply disruptions to these resources has been widely observed and measured. However, system boundaries of previous studies were conventionally limited to the mine stage. Possible supply risks inherent in the downstream processing stages were not adequately taken into account. To fill this gap, we generalize the idea of supply risk to the whole supply chain to describe the comprehensive threats for the steady consumption of lithium-ion batteries. Based on such concept, this study assesses the risks of the lithium-ion battery related materials in the three major stages of the entire supply chain: mining, refining and manufacturing. Results indicate that lithium and cobalt are the most critical materials for lithium-ion battery industry. Risks hidden in the downstream stages of nickel and manganese should also not be overlooked. We further argue that for important energy-related materials with complicated supply chains, the risks should be identified and safeguarded comprehensively throughout the entire supply chain. Such work calls for further database establishment and analysis. (C) 2019 Elsevier Ltd. All rights reserved.</t>
  </si>
  <si>
    <t>[Sun, Xin; Hao, Han; Hartmann, Philipp; Liu, Zongwei; Zhao, Fuquan] Tsinghua Univ, State Key Lab Automot Safety &amp; Energy, Beijing 100084, Peoples R China; [Hartmann, Philipp] Rhein Westfal TH Aachen, D-52056 Aachen, Germany; [Hao, Han; Liu, Zongwei; Zhao, Fuquan] Tsinghua Univ, China Automot Energy Res Ctr, Beijing 100084, Peoples R China; [Hao, Han; Liu, Zongwei; Zhao, Fuquan] Tsinghua Univ, Tsinghua Automot Strategy Res Inst, Beijing 100084, Peoples R China</t>
  </si>
  <si>
    <t>Hao, H (corresponding author), Tsinghua Univ, State Key Lab Automot Safety &amp; Energy, Beijing 100084, Peoples R China.</t>
  </si>
  <si>
    <t>hao@tsinghua.edu.cn</t>
  </si>
  <si>
    <t>DEC</t>
  </si>
  <si>
    <t>10.1016/j.mtener.2019.100347</t>
  </si>
  <si>
    <t>WOS:000504690500028</t>
  </si>
  <si>
    <t>Zhang, LX; Sun, X; Xu, M; Yang, YY; Zhang, TT; Wen, ZG</t>
  </si>
  <si>
    <t>Zhang, Lanxin; Sun, Xin; Xu, Mao; Yang, Yuyao; Zhang, Tingting; Wen, Zongguo</t>
  </si>
  <si>
    <t>Large language model-driven analysis of supply risk dynamics in global electric vehicle supply chain</t>
  </si>
  <si>
    <t>ENVIRONMENTAL IMPACT ASSESSMENT REVIEW</t>
  </si>
  <si>
    <t>Driven by ambitious climate targets, the rapid growth of electric vehicles (EV) is creating complex global supply chains that are increasingly exposed to disruptions. While supply risks, such as political instability and resource scarcity, are widely recognized, systematic assessments of disruption events across the entire EV supply chain remain limited. This study employs a Large language model (LLM) with prompt engineering to identify disruption events from unstructured textual data and further analyze risk dynamics. Applying this approach to 3125 news articles from 2006 to 2025, we extract 2843 documented events and further categorize them into 50 disruption event types and 8 supply risk types, spanning 49 supply chain stages and 78 countries and regions. We find that geopolitical risks have emerged as the dominant concern in recent years. Vehicle assembly, battery manufacturing, and lithium ore extraction emerged as the most vulnerable stages. Geographic heterogeneity in risk distribution reveals the distinct roles countries play in the global EV supply chain. This proposed LLM-based framework provides actionable insights for enhancing supply chain resilience during the accelerating EV transition.</t>
  </si>
  <si>
    <t>[Zhang, Lanxin; Xu, Mao; Wen, Zongguo] Tsinghua Univ, Sch Environm, State Key Lab Iron &amp; Steel Ind Environm Protect, Beijing, Peoples R China; [Sun, Xin] Univ Groningen, Energy Sustainabil Res Inst Groningen, Integrated Res Energy Environm &amp; Soc, Groningen, Netherlands; [Yang, Yuyao] Chinese Acad Sci, Inst Urban Environm, Xiamen, Peoples R China; [Zhang, Tingting] Nanjing Forestry Univ, Coll Econ &amp; Management, Nanjing, Jiangsu, Peoples R China</t>
  </si>
  <si>
    <t>Wen, ZG (corresponding author), Tsinghua Univ, Sch Environm, State Key Lab Iron &amp; Steel Ind Environm Protect, Beijing, Peoples R China.</t>
  </si>
  <si>
    <t>wenzg@tsinghua.edu.cn</t>
  </si>
  <si>
    <t>JUN</t>
  </si>
  <si>
    <t>10.1016/j.eiar.2026.108378</t>
  </si>
  <si>
    <t>FEB 2026</t>
  </si>
  <si>
    <t>WOS:001686967000001</t>
  </si>
  <si>
    <t>Jin, PF; Wang, SG; Meng, Z; Chen, B</t>
  </si>
  <si>
    <t>Jin, Pengfei; Wang, Saige; Meng, Zheng; Chen, Bin</t>
  </si>
  <si>
    <t>China's lithium supply chains: Network evolution and resilience assessment</t>
  </si>
  <si>
    <t>As the world's largest consumer of lithium resources, China faces a substantial demand-supply gap and challenges in securing its lithium supply chain. This study aims to examine the evolution of China's lithium supply chain networks from 2017 to 2021 and employs an attack model to reveal network resilience. A lithium supply chain network is constructed across the entire industry, offering a novel perspective for examining the resilience of lithium resource trade networks. Simulated disturbances are executed via attack models, analysing not only trade nodes but also specific trade relationships while differentiating between import and export subnetworks, thus providing an in-depth examination of structural evolution and resilience characteristics. Our findings highlight the rapid decrease in total lithium throughflows and stable network efficiency from 2017 to 2021. A decline is also observed regarding the network's resilience. Among the different forms of simulated disruptions, node attacks exert the most substantial impact on resilience. The effects of node and edge attacks are notably less severe in China's export subnetwork than in its import subnetwork. In the import subnetwork, the influence of Asian and European nodes diminishes, while South America and Oceania show an increasing influence trend. For exports, the Asian node remains influential, followed by Europe, with Eastern Europe surpassing Western Europe. Upon closer examination of specific products' trade impacts under edge attacks, the results indicate that most trade relationships have minimal impacts on network resilience. There is a persistent increase in the influence of key upstream products in the import sector. Similarly, the influence of key downstream products in the export sector is also on the rise, underscoring China's global leadership in both mid-and downstream products and illustrating its expanding production capacity. The structural changes of complex networks and simultaneous targeted attacks provide new insights for enhancing resilience given the different disruptions of nodes and edges, and outline important policy implications for China's lithium supply security.</t>
  </si>
  <si>
    <t>[Jin, Pengfei; Wang, Saige; Chen, Bin] Beijing Normal Univ, Sch Environm, State Key Joint Lab Environm Simulat Pollut Contro, Beijing 100875, Peoples R China; [Meng, Zheng] China Univ Min &amp; Technol Beijing, Sch Management, Beijing 100083, Peoples R China; [Chen, Bin] Beijing Normal Univ, State Key Joint Lab Environm Simulat &amp; Pollut Cont, 19 Xinjiekouwai St, Beijing 100875, Peoples R China</t>
  </si>
  <si>
    <t>Chen, B (corresponding author), Beijing Normal Univ, State Key Joint Lab Environm Simulat &amp; Pollut Cont, 19 Xinjiekouwai St, Beijing 100875, Peoples R China.</t>
  </si>
  <si>
    <t>chenb@bnu.edu.cn</t>
  </si>
  <si>
    <t>B</t>
  </si>
  <si>
    <t>10.1016/j.resourpol.2023.104339</t>
  </si>
  <si>
    <t>NOV 2023</t>
  </si>
  <si>
    <t>WOS:001109068600001</t>
  </si>
  <si>
    <t>Wang, XB; Tian, X; Geng, Y</t>
  </si>
  <si>
    <t>Wang, Xibin; Tian, Xu; Geng, Yong</t>
  </si>
  <si>
    <t>Uncovering the key determinants on the disruption of ores supply</t>
  </si>
  <si>
    <t>Sustainable supply of different ores is essential for our economic system to move toward low carbon transition. However, few studies focus on uncovering the key determinants on the supply disruption of such ores. This study investigates the key determinants that influenced the disruption of 18 types of ores' production from 2010 to 2022 through the combination of web crawler, AI-text classification and manual processing methods. Results show that determinants such as politics, natural disasters, strikes and protests, economy, and energy, play crucial roles. Specifically, these determinants have different impacts in different countries and therefore require different policy designs, such as environmental protection policy (in China influencing Zinc, Tungsten, Molybdenum, and Iron), banning resource export (in Indonesia influencing Nickel and Tin), domestic risks (in Democratic Republic of Congo influencing Copper and Cobalt), extreme climate disasters (in Australia-influencing Iron, Aluminum, and Gold, and in Chile-influencing Copper and Lithium), natural disaster (in South Africa-influencing Chromium, Manganese, Platinum, Gold, and Fe, and in Chile-influencing Copper and Lithium), and strike and protests (in Peru-influencing Copper, Silver, and Zinc, and in South Africa-influencing Platinum and Gold). These findings can help stakeholders better prepare their strategies to improve the overall resilience of the entire ores supply chain and facilitate the global low carbon transition. Several policy recommendations are then proposed to improve sustainable supply of key minerals.</t>
  </si>
  <si>
    <t>[Wang, Xibin] Shanghai Jiao Tong Univ, Sch Environm Sci &amp; Engn, Shanghai 200240, Peoples R China; [Tian, Xu; Geng, Yong] Shanghai Jiao Tong Univ, SJTU UNIDO Joint Inst Inclus &amp; Sustainable Ind Dev, Sch Int &amp; Publ Affairs, Shanghai 200240, Peoples R China</t>
  </si>
  <si>
    <t>Tian, X; Geng, Y (corresponding author), Shanghai Jiao Tong Univ, SJTU UNIDO Joint Inst Inclus &amp; Sustainable Ind Dev, Sch Int &amp; Publ Affairs, Shanghai 200240, Peoples R China.</t>
  </si>
  <si>
    <t>tianxu@sjtu.edu.cn; ygeng@sjtu.edu.cn</t>
  </si>
  <si>
    <t>10.1016/j.resconrec.2024.107953</t>
  </si>
  <si>
    <t>OCT 2024</t>
  </si>
  <si>
    <t>WOS:001335581900001</t>
  </si>
  <si>
    <t>Meng, ZH; Sun, H; Daigo, I; Guan, YR; Shan, YL</t>
  </si>
  <si>
    <t>Meng, Zhenghao; Sun, Han; Daigo, Ichiro; Guan, Yuru; Shan, Yuli</t>
  </si>
  <si>
    <t>Technological risks disrupting trade stability in the global lithium supply chain network</t>
  </si>
  <si>
    <t>ISCIENCE</t>
  </si>
  <si>
    <t>Technological risks in the lithium supply chain have garnered significant global attention. Yet limited research explores their impact on trade stability or how technological progress mitigates diffusion. This study analyzes the interplay of technological and trade risks-where risks such as technological disruptions and technical barriers to trade destabilize trade flows and amplify supply chain vulnerabilities-within the lithium supply chain, incorporating technology dependency and supply chain management theories. Findings reveal that the U.S. holds 56-79% of core technologies across stages, while China accounts for 6-25%. This monopoly fosters potential risks such as technological barriers and embargoes, leading to large-scale trade risk diffusion characterized by branching and interactive infection patterns. Global losses could reach $90.0 billion, while China may reduce downstream losses by $5.2 billion through tech advantages. This research reveals transmission mechanisms and simulates risk diffusion, offering new insights into supply chain sustainability.</t>
  </si>
  <si>
    <t>[Meng, Zhenghao; Sun, Han] China Univ Geosci Wuhan, Sch Econ &amp; Management, Wuhan 430074, Hubei, Peoples R China; [Meng, Zhenghao; Daigo, Ichiro] Univ Tokyo, Res Ctr Adv Sci &amp; Technol RCAST, Tokyo 1138654, Japan; [Meng, Zhenghao; Daigo, Ichiro] Univ Tokyo, UTokyo LCA Ctr Future Strategy, Tokyo 1138654, Japan; [Sun, Han] China Univ Geosci Wuhan, Resource &amp; Environm Econ Res Ctr, Wuhan 430074, Peoples R China; [Guan, Yuru] Univ Groningen, Energy &amp; Sustainabil Res Inst Groningen, Integrated Res Energy Environm &amp; Soc, NL-9747 AG Groningen, Netherlands; [Guan, Yuru; Shan, Yuli] Univ Birmingham, Sch Geog Earth &amp; Environm Sci, Birmingham B15 2TT, England</t>
  </si>
  <si>
    <t>Sun, H (corresponding author), China Univ Geosci Wuhan, Sch Econ &amp; Management, Wuhan 430074, Hubei, Peoples R China.;Sun, H (corresponding author), China Univ Geosci Wuhan, Resource &amp; Environm Econ Res Ctr, Wuhan 430074, Peoples R China.</t>
  </si>
  <si>
    <t>sunhan2004@126.com</t>
  </si>
  <si>
    <t>JUL 18</t>
  </si>
  <si>
    <t>10.1016/j.isci.2025.112939</t>
  </si>
  <si>
    <t>WOS:001528922900007</t>
  </si>
  <si>
    <t>Manley, RL; Alonso, E; Nassar, NT</t>
  </si>
  <si>
    <t>Manley, Ross L.; Alonso, Elisa; Nassar, Nedal T.</t>
  </si>
  <si>
    <t>A model to assess industry vulnerability to disruptions in mineral commodity supplies</t>
  </si>
  <si>
    <t>Mineral commodity supply disruptions have the potential to ripple through and impact the economy in many ways. Industrial vulnerability is a crucial component of mineral commodity criticality tools as it provides guidance on the economic importance of these commodities to regional criticality indices. Using an economic model that links mineral commodity end-use data to input-output tables and a linear optimization routine, re-ductions in economic output of individual industries and of the overall economy may be calculated. Such a model can also help to identify industries, be they direct or indirect consumers of the mineral commodities in question, that are most vulnerable to specific mineral commodity supply disruptions at different disruption magnitudes. In this assessment, 56 commodities' end-use data for the year 2012 were paired with the United States' detail-level Benchmark Input-Output accounts to build an industrial vulnerability model. The model does not evaluate the likelihood of specific supply disruptions but can be used to assess potential industry impacts for a range of scenarios. The model findings indicate that when the supplies of mineral commodities such as mica, lithium, and fluorspar were disrupted, large overall economic decline was paired with a large decline in many industries. On the other hand, gold, lead, and rhenium disruptions resulted in low declines and few disrupted industries. Synopsis Statement: An economic input-output and linear programming model was built and used to assess direct and indirect economic impacts from mineral commodity supply disruptions.</t>
  </si>
  <si>
    <t>[Manley, Ross L.; Alonso, Elisa; Nassar, Nedal T.] US Geol Survey, Natl Minerals Informat Ctr, Reston, VA USA; [Alonso, Elisa] 12201 Sunrise Valley Dr, Mail Stop 988, Reston, VA 20192 USA</t>
  </si>
  <si>
    <t>Alonso, E (corresponding author), 12201 Sunrise Valley Dr, Mail Stop 988, Reston, VA 20192 USA.</t>
  </si>
  <si>
    <t>ealonso@usgs.gov; nnassar@usgs.gov</t>
  </si>
  <si>
    <t>10.1016/j.resourpol.2022.102889</t>
  </si>
  <si>
    <t>AUG 2022</t>
  </si>
  <si>
    <t>WOS:000865022900007</t>
  </si>
  <si>
    <t>Lin, BQ; Li, JN</t>
  </si>
  <si>
    <t>Lin, Boqiang; Li, Jiangnan</t>
  </si>
  <si>
    <t>Spot price fluctuations of battery-grade lithium carbonate and supply chain disruptions: The survival game of new energy enterprises</t>
  </si>
  <si>
    <t>RENEWABLE ENERGY</t>
  </si>
  <si>
    <t>Amid the global energy transition, China's new energy industry has rapidly grown. Lithium-ion batteries, central to new energy vehicles and energy storage systems, rely on battery-grade lithium carbonate as a core material. From 2020 to 2023, the spot price of battery-grade lithium carbonate fluctuated drastically, from stagnation and recovery to sharp rises and declines, disrupting the new energy supply chain. This underscores the need to strengthen the security of the industry and supply chain. Our study, based on data from new energy listed companies for eight quarters from Q2 2021 to Q1 2023, uses fixed effect models and generalized additive models to explore the relationship between the spot price fluctuations of battery-grade lithium carbonate and the inventory turnover time of new energy enterprises. The study finds that first, changes in battery-grade lithium carbonate prices exert a significant negative impact on enterprises' inventory turnover time. Second, enterprises with weaker bargaining power adopt more aggressive inventory reduction strategies. Third, during the early stage of lithium carbonate price surges, some companies engaged in stockpiling to alleviate potential subsequent inventory pressure, which ultimately led to over-adjusted turnover times in later periods. Compared to previous literature, this paper breaks through the linear analysis paradigm and reveals the underlying changes in supply chain shocks through the GAM model, providing new empirical evidence for the management of new energy supply chains. We advocate for a collaborative mechanism to mitigate supply chain shocks from price fluctuations.</t>
  </si>
  <si>
    <t>[Lin, Boqiang; Li, Jiangnan] Xiamen Univ, China Inst Studies Energy Policy, Sch Management, Xiamen 361005, Fujian, Peoples R China; [Lin, Boqiang] City Univ Macau, Adv Interdisciplinary Res Ctr, Macau, Peoples R China</t>
  </si>
  <si>
    <t>Lin, BQ (corresponding author), Xiamen Univ, China Inst Studies Energy Policy, Sch Management, Xiamen 361005, Fujian, Peoples R China.</t>
  </si>
  <si>
    <t>boqianglin@xmu.edu.cn</t>
  </si>
  <si>
    <t>APR 15</t>
  </si>
  <si>
    <t>10.1016/j.renene.2026.125372</t>
  </si>
  <si>
    <t>WOS:001688568700001</t>
  </si>
  <si>
    <t>Li, WH; Wang, JT; Adachi, T</t>
  </si>
  <si>
    <t>Li, Wenhua; Wang, Juntao; Adachi, Tsuyoshi</t>
  </si>
  <si>
    <t>Geopolitical competition risks over critical minerals: An analytical framework and a lithium case study</t>
  </si>
  <si>
    <t>MINERAL ECONOMICS</t>
  </si>
  <si>
    <t>Article; Early Access</t>
  </si>
  <si>
    <t>Intensifying and increasingly complex geopolitical competition over critical minerals has heightened the challenges of ensuring supply security. In response, this study develops an analytical framework to systematically assess geopolitical competition risks. The framework integrates multiple approaches, including game theory, a supply-demand model, logical deduction, and indicator development. The results suggest that three types of strategic behaviors constitute the primary sources of geopolitical competition risk: rent-seeking by geo-peripheral exporters, supply control by geo-core importers, and downstream value capture by geo-core exporters. Such competition may lead to supply disruptions, market volatility, and demand shocks. The framework is applied to a lithium case study. The results indicate that the United States (44%, driven by supply control), Chile (10%, driven by mineral rent-seeking), China (9% from supply control and 5% from downstream dominance), and Australia (9% from downstream dominance) are the major contributors to geopolitical competition risks. Overall, supply control risks associated with geo-core importers dominate, accounting for 53% of the total impact.</t>
  </si>
  <si>
    <t>[Li, Wenhua] Henan Univ Technol, Gaoxinqv Mudanlu Lianhuajie 100, Zhengzhou, Peoples R China; [Wang, Juntao] Henan Univ Anim Husb &amp; Econ, 146 Yingcai St, Zhengzhou, Henan, Peoples R China; [Adachi, Tsuyoshi] Akita Univ, Akita, Japan</t>
  </si>
  <si>
    <t>Li, WH (corresponding author), Henan Univ Technol, Gaoxinqv Mudanlu Lianhuajie 100, Zhengzhou, Peoples R China.;Wang, JT (corresponding author), Henan Univ Anim Husb &amp; Econ, 146 Yingcai St, Zhengzhou, Henan, Peoples R China.</t>
  </si>
  <si>
    <t>gentlelwh@163.com; smartwjt@163.com; adachi.t@gipc.akita-u.ac.jp</t>
  </si>
  <si>
    <t>2026 MAY 5</t>
  </si>
  <si>
    <t>10.1007/s13563-026-00642-x</t>
  </si>
  <si>
    <t>MAY 2026</t>
  </si>
  <si>
    <t>WOS:001756713100001</t>
  </si>
  <si>
    <t>Label_Human</t>
  </si>
  <si>
    <t>Ren, HY; Du, JB; Wang, C; Li, ZL; Yue, XP</t>
  </si>
  <si>
    <t>Ren, Huanyu; Du, Jianbang; Wang, Chao; Li, Zhenglong; Yue, Xiongping</t>
  </si>
  <si>
    <t>Multiplex Characteristics and Vulnerability Assessment of the Global Electric Vehicle Lithium-Ion Battery Supply Chain Network: A Focal Firm-Specific Analysis</t>
  </si>
  <si>
    <t>IEEE SYSTEMS JOURNAL</t>
  </si>
  <si>
    <t>The production and sales of electric vehicle lithium-ion batteries (EV LIB) have experienced rapid growth in the past decade, resulting in an extensive and intricate supply chain network (SCN). The SCNs orchestrated by different focal firms are interdependent due to the joint suppliers and customers. This interdependence, coupled with geographical segmentation, introduces vulnerability to the global EV LIB SCN. Focal firms need management insights from the multiplexity of the global EV LIB SCN to address the potential vulnerability. This investigation utilizes the empirical data regarding the supplier-buyer relationships of the top six EV LIB manufacturers in 2020 to construct the multilayered EV LIB SCN. Then, a focal firm-specific analysis is conducted to explore the multiplexity of the global EV LIB SCN, including identifying the influential firms, measuring the structure of SCNs led by different focal firms, and distinguishing the dependence and discrepancies of different focal firms' SCNs. Furthermore, an SCN vulnerability (SCNV) index was designed to assess the vulnerability of such a multilayered SCN in two disruption scenarios, i.e., single-country blockade and intercountry blockade. The structural analysis can assist focal firms in allocating vulnerability-coping resources more effectively. Besides, the assessment of SCNV can assist managers in identifying potential risk sources beyond their own SCNs.</t>
  </si>
  <si>
    <t>[Ren, Huanyu] Jimei Univ, Nav Inst, Xiamen 361000, Peoples R China; [Du, Jianbang] Texas A&amp;M Transportat Inst, Bryan, TX 77807 USA; [Wang, Chao] Beijing Univ Technol, Coll Econ &amp; Management, Beijing 100022, Peoples R China; [Li, Zhenglong] Beijing Jiaotong Univ, Sch Econ &amp; Management, Beijing 100044, Peoples R China; [Yue, Xiongping] Wuhan Polytech Univ, Sch Management, Wuhan 430062, Peoples R China</t>
  </si>
  <si>
    <t>Du, JB (corresponding author), Texas A&amp;M Transportat Inst, Bryan, TX 77807 USA.;Wang, C (corresponding author), Beijing Univ Technol, Coll Econ &amp; Management, Beijing 100022, Peoples R China.</t>
  </si>
  <si>
    <t>19113044@bjtu.edu.cn; dujianbang@gmail.com; chaowanghn@vip.163.com; 21113037@bjtu.edu.cn; 18113043@bjtu.edu.cn</t>
  </si>
  <si>
    <t>MAR</t>
  </si>
  <si>
    <t>10.1109/JSYST.2024.3349398</t>
  </si>
  <si>
    <t>WOS:001167356000001</t>
  </si>
  <si>
    <t>van den Brink, S; Kleijn, R; Sprecher, B; Tukker, A</t>
  </si>
  <si>
    <t>van den Brink, Susan; Kleijn, Rene; Sprecher, Benjamin; Tukker, Arnold</t>
  </si>
  <si>
    <t>Identifying supply risks by mapping the cobalt supply chain</t>
  </si>
  <si>
    <t>Cobalt is considered a critical raw material. Global cobalt demand is expected to quadruple in the next four decades, due primarily to lithium-ion battery demand. Uniquely, this study provides detailed geographically explicit data on the cobalt supply chain, with the aim of both determining how susceptible primary cobalt production is to supply chain disruptions, and to evaluate possible supply risks. We conclude that the risks for supply chain disruptions are high. Firstly, the cobalt market is highly concentrated, with more than half of the cobalt mined in the Democratic Republic of the Congo, and almost half of the cobalt refined in China. Secondly, almost all cobalt is mined as a by-product of copper and nickel. Finally, political stability in production countries is considered to be medium to very weak. There are also several factors in play that reduce supply risks. The concentration of the individual mines, refineries and companies remains under the threshold of a concentrated market, and the estimated 80 artisanal cobalt mines further diversify the mined supply. A network analysis shows the important position of companies with high betweenness and degree centrality. A disruption at these companies can affect the functioning of the overall supply chain. The geographic and a network visualization provide useful insights in the supply risks. Based on the analysis, we recommend to diversify cobalt production, through the development of mines, refineries, and efforts to ensure socially and environmentally sustainable artisanal mining.</t>
  </si>
  <si>
    <t>[van den Brink, Susan; Kleijn, Rene; Sprecher, Benjamin; Tukker, Arnold] Leiden Univ, Inst Environm Sci CML, Einsteinweg 2, NL-2333 CC Leiden, Netherlands</t>
  </si>
  <si>
    <t>van den Brink, S (corresponding author), Leiden Univ, Inst Environm Sci CML, Einsteinweg 2, NL-2333 CC Leiden, Netherlands.</t>
  </si>
  <si>
    <t>s.van.den.brink@cml.leidenuniv.nl; Kleijn@cml.leidenuniv.nl; sprecher@cml.leidenuniv.nl; tukker@cml.leidenuniv.nl</t>
  </si>
  <si>
    <t>MAY</t>
  </si>
  <si>
    <t>10.1016/j.resconrec.2020.104743</t>
  </si>
  <si>
    <t>WOS:000540561100019</t>
  </si>
  <si>
    <t>Liu, W; Li, X; Liu, CY; Wang, MX; Liu, LT</t>
  </si>
  <si>
    <t>Liu, Wei; Li, Xin; Liu, Chunyan; Wang, Minxi; Liu, Litao</t>
  </si>
  <si>
    <t>Resilience assessment of the cobalt supply chain in China under the impact of electric vehicles and geopolitical supply risks</t>
  </si>
  <si>
    <t>Cobalt, one of the essential new energy materials, is widely applied in many crucial industries. In recent years, the rapid development of electric vehicles (EVs) has led to increased cobalt demand, and geopolitical changes have increased the risk of cobalt supply disruption. To investigate the impact of geopolitical risks and demand shocks of EVs on the cobalt supply chain system, we applied the system dynamics model to assess the cobalt supply chain resilience and construct four subsystems of price, production capacity, supply, and demand to explore the resilience mechanism of the cobalt supply chain. Through Vensim simulation experiments, three resilience enhancement measures from recycling technology, inventory, and material substitution under the impact of the EVs demand and geopolitical supply risks are used as model scenarios. The research results revealed that the cobalt supply chain is less resilient under the impact of EVs and geopolitical risks. The reduction of cobalt imports under geopolitical risks has a direct impact on cobalt prices and produces a superimposed effect. When a 20%, 50%, and 100% reduction in China's cobalt imports due to geopolitical events, the cobalt price rises from 2026 by 8.24%, 10.67%, and 15.01% in 2027, respectively, compared to the baseline scenario, to reach the maximum cobalt price in 2028. The improvement in recycling technology makes the Chinese cobalt supply chain more resilient, as evidenced by capacity growth. A 33% improvement in recovery technology, increasing cobalt supply capacity by 12.57% and relieving supply pressure by 16.47% under cobalt supply disruptions. Inventory is one of the apparent improvements in the cobalt supply chain to respond to shocks in EV demand. Material substitution improves resilience in both scenarios, but is less effective in supply disruptions under geopolitical risk shocks.</t>
  </si>
  <si>
    <t>[Liu, Wei; Li, Xin; Wang, Minxi] Chengdu Univ Technol, Coll Management Sci, Chengdu 610059, Peoples R China; [Liu, Chunyan] Chengdu Technol Univ, Sch Automat &amp; Elect Engn, Chengdu 610031, Peoples R China; [Liu, Litao] Chinese Acad Sci, Inst Geog Sci &amp; Nat Resources Res, Beijing 100101, Peoples R China</t>
  </si>
  <si>
    <t>Li, X (corresponding author), Chengdu Univ Technol, Coll Management Sci, Chengdu 610059, Peoples R China.</t>
  </si>
  <si>
    <t>xueshu2019lw@163.com; lixin2012@cdut.cn; cheyanne2819886258@163.com; wangminxi@mail.cdut.edu.cn; liult@igsnrr.ac.cn</t>
  </si>
  <si>
    <t>10.1016/j.resourpol.2022.103183</t>
  </si>
  <si>
    <t>WOS:000911291100001</t>
  </si>
  <si>
    <t>Chen, ZW; Yildizbasi, A; Wang, Y; Sarkis, J</t>
  </si>
  <si>
    <t>Chen, Zhuowen; Yildizbasi, Abdullah; Wang, Yan; Sarkis, Joseph</t>
  </si>
  <si>
    <t>Safety in lithium-ion battery circularity activities: A framework and evaluation methodology</t>
  </si>
  <si>
    <t>Lithium-ion batteries (LIBs) can help support sustainability through electric vehicles and energy storage. There is now wide adoption of LIBS and supply sourcing concerns for LIB metals such as cobalt and lithium. LIB End-oflife (EOL) management is essential for LIB metals supply chain resilience. Safety risks within EOL LIBs are potential disruption concerns. In this study safety risks during LIB EOL stages are explored with a circular economy (CE) perspective. Safety risk sources in EOL LIB management and their effects on activities are quantified and ranked by a combined Best-Worst Method (BWM) and Technique for Order of Preference by Similarity to Ideal Solution (TOPSIS) methodology. This methodology combines risk analysis with multi-criteria decision-making (MCDM) to provide initial insights into relative safety risk source improvements. General practical and research implications for future studies about the CE of LIBs emerge from this study's computational and analytical results.</t>
  </si>
  <si>
    <t>[Chen, Zhuowen; Yildizbasi, Abdullah; Sarkis, Joseph] Worcester Polytech Inst, Sch Business, 100 Inst Rd, Worcester, MA 01609 USA; [Wang, Yan] Worcester Polytech Inst, Dept Mech &amp; Mat Engn, 100 Inst Rd, Worcester, MA USA; [Yildizbasi, Abdullah] Ankara Yildirim Beyazit Univ, Dept Ind Engn, TR-06010 Ankara, Turkiye; [Sarkis, Joseph] Univ Polytech Hauts Defrance, LAMIH Lab, Campus Mont Houy, F-59313 Valenciennes, France</t>
  </si>
  <si>
    <t>Yildizbasi, A (corresponding author), Worcester Polytech Inst, Sch Business, 100 Inst Rd, Worcester, MA 01609 USA.;Yildizbasi, A (corresponding author), Ankara Yildirim Beyazit Univ, Dept Ind Engn, TR-06010 Ankara, Turkiye.</t>
  </si>
  <si>
    <t>zchen14@wpi.edu; ayildizbasi@wpi.edu</t>
  </si>
  <si>
    <t>10.1016/j.resconrec.2023.106962</t>
  </si>
  <si>
    <t>MAR 2023</t>
  </si>
  <si>
    <t>WOS:001042050000001</t>
  </si>
  <si>
    <t>Althaf, S; Babbitt, CW</t>
  </si>
  <si>
    <t>Althaf, Shahana; Babbitt, Callie W.</t>
  </si>
  <si>
    <t>Disruption risks to material supply chains in the electronics sector</t>
  </si>
  <si>
    <t>Electronic products are an essential part of modern society, but their importance has perhaps never been as palpable as when the COVID-19 pandemic forced almost every aspect of human interaction to go online. However, the pandemic also revealed that the supply chains that provide crucial raw materials for manufacturing electronics are increasingly vulnerable to social, geopolitical, and technical disruptions. These vulnerabilities are likely to escalate in the future, due to global health crises, natural disasters, and global political instability, all of which will be magnified by looming climate change impacts. This study investigates potential supply chain disruption risks in the electronics sector by applying metrics that capture supply, demand, socio-political, and environmental risks in a multi-criteria framework to almost 40 metals and minerals that provide critical functionality to electronic products. Results illustrate that the material risks varied with the potential nature of the disruption. For example, in scenarios where disruptions led to price volatility or weakening of environmental regulations, highest risks were observed for precious metals such as gold, rhodium, platinum, and palladium. On the other hand, in scenarios where disruptions led to supply pressures or geopolitical tensions, cobalt, gallium, and key rare earth elements exhibited the highest risks. These metals are characterized by energy-intense manufacturing and highly concentrated geographic production, suggesting that recycling and supply chain diversification may alleviate some of the identified risks. The analysis also considers trade-offs that may occur across social, economic, and environmental dimensions. For example, cobalt, a critical component in lithium-ion batteries, has significant social impacts due to production concentration in the Democratic Republic of the Congo. Shifting production to other regions may alleviate these risks but introduce new concerns about economic and environmental impacts.</t>
  </si>
  <si>
    <t>[Althaf, Shahana; Babbitt, Callie W.] Rochester Inst Technol, Golisano Inst Sustainabil, Rochester, NY 14623 USA; [Althaf, Shahana] Yale Univ, Ctr Ind Ecol, Sch Environm, New Haven, CT USA</t>
  </si>
  <si>
    <t>Babbitt, CW (corresponding author), Rochester Inst Technol, Golisano Inst Sustainabil, Rochester, NY 14623 USA.</t>
  </si>
  <si>
    <t>cwbgis@rit.edu</t>
  </si>
  <si>
    <t>10.1016/j.resconrec.2020.105248</t>
  </si>
  <si>
    <t>FEB 2021</t>
  </si>
  <si>
    <t>WOS:000652020200012</t>
  </si>
  <si>
    <t>Kim, M; Choi, D</t>
  </si>
  <si>
    <t>Kim, Minseok; Choi, Donghyun</t>
  </si>
  <si>
    <t>Supply chain structure modularity in the battery industry: from social network perspective and Korea</t>
  </si>
  <si>
    <t>ASIA PACIFIC BUSINESS REVIEW</t>
  </si>
  <si>
    <t>The secondary battery industry supports crucial sectors like electric vehicles, maintaining a resilient supply chain essential for stable production. Disruptions in globalized supply chains can impact the entire network, so understanding the battery industry's structure is vital for South Korea. This study aims to empirically examine supply chain localization - a structural risk mitigation strategy - using Social Network Analysis. By analysing trade relationships, the study addresses the complex interactions among various actors within the supply chain. Recognizing the roles and shifts of major countries within this network is also essential, as they significantly influence the industry's stability and resilience on a global scale.</t>
  </si>
  <si>
    <t>[Kim, Minseok] Kim&amp;Chang, SCM Ctr, Seoul, South Korea; [Choi, Donghyun] Chung Ang Univ, Coll Business &amp; Econ, Int Logist Dept, Seoul, South Korea</t>
  </si>
  <si>
    <t>Choi, D (corresponding author), Chung Ang Univ, Coll Business &amp; Econ, Int Logist Dept, Seoul, South Korea.</t>
  </si>
  <si>
    <t>dchoi@cau.ac.kr</t>
  </si>
  <si>
    <t>2025 FEB 21</t>
  </si>
  <si>
    <t>10.1080/13602381.2025.2459875</t>
  </si>
  <si>
    <t>WOS:001426657700001</t>
  </si>
  <si>
    <t>Cousins, DA; Barnes, TRE; Young, AH; Delgado, O; Paton, C</t>
  </si>
  <si>
    <t>Cousins, David A.; Barnes, Thomas R. E.; Young, Allan H.; Delgado, Oriana; Paton, Carol</t>
  </si>
  <si>
    <t>Plus ca change? Switching lithium preparations</t>
  </si>
  <si>
    <t>BJPSYCH BULLETIN</t>
  </si>
  <si>
    <t>Aims and method A supply disruption alert in 2020, now rescinded, notified UK prescribers of the planned discontinuation of Priadel(R) (lithium carbonate) tablets. This service evaluation explored lithium dose and plasma levels before and after the switching of lithium brands, in order to determine the interchangeability of different brands of lithium from a pharmacokinetic perspective. Results Data on the treatment of 37 patients switched from Priadel(R) tablets were analysed. Switching to Camcolit(R) controlled-release tablets at the same dose did not result in meaningful differences in plasma lithium levels. Dose adjustment and known or suspected poor medication adherence were associated with greater variability in plasma lithium levels on switching brands. Clinical implications For comparable pre- and post-switch doses in adherent patients, the most common brands of lithium carbonate appear to produce similar plasma lithium levels. British National Formulary guidance relating to switching lithium brands may be unnecessarily complex.</t>
  </si>
  <si>
    <t>[Cousins, David A.] Newcastle Univ, Newcastle Upon Tyne, Tyne &amp; Wear, England; [Cousins, David A.] Northumberland Tyne &amp; Wear NHS Fdn Trust, Newcastle Upon Tyne, Tyne &amp; Wear, England; [Barnes, Thomas R. E.; Paton, Carol] Imperial Coll London, London, England; [Barnes, Thomas R. E.; Delgado, Oriana; Paton, Carol] Royal Coll Psychiatrists, London, England; [Young, Allan H.] Kings Coll London, London, England; [Young, Allan H.] South London Maudsley NHS Fdn Trust, Beckenham, Kent, England</t>
  </si>
  <si>
    <t>Cousins, DA (corresponding author), Newcastle Univ, Newcastle Upon Tyne, Tyne &amp; Wear, England.</t>
  </si>
  <si>
    <t>david.cousins@newcastle.ac.uk</t>
  </si>
  <si>
    <t>PII S2056469421001261</t>
  </si>
  <si>
    <t>10.1192/bjb.2021.126</t>
  </si>
  <si>
    <t>FEB 2022</t>
  </si>
  <si>
    <t>WOS:000757688100001</t>
  </si>
  <si>
    <t>Evtikhin, YA; Vertkov, A; Lyublinski, IE; Khripunov, BI; Petrov, VB; Mirnov, SV</t>
  </si>
  <si>
    <t>Research of lithium capillary-pore systems for fusion reactor plasma facing components</t>
  </si>
  <si>
    <t>JOURNAL OF NUCLEAR MATERIALS</t>
  </si>
  <si>
    <t>Article; Proceedings Paper</t>
  </si>
  <si>
    <t>10th International Conference on Fusion Reactor Materials (ICFRM-10)</t>
  </si>
  <si>
    <t>OCT 14-19, 2001</t>
  </si>
  <si>
    <t>BADEN-BASEN, GERMANY</t>
  </si>
  <si>
    <t>To date there is no adequate solution for high heat load plasma facing components of the next step fusion reactor among solid material options. A lithium-filled capillary porous systems (CPS) was proposed as a plasma facing material and experimental work on this subject is now in progress. Steady-state experiments with CPS-based target and lithium supply systems have shown successful operation at heat fluxes of 1-10 MW/m(2). during several hours. Experimental data is obtained on lithium CPS stability at heat flux up to 25-50 MW/m(2). The lithium CPS behaviour in contact with real tokamak plasma is considered for normal discharge condition at 10 MW/m(2) and for, plasma disruption at 15 Mj/m(2). Erosion mechanism of lithium under tokamak plasma impact was analysed. Stability of lithium CPS in tokamak conditions was shown. (C) 2002 Elsevier Science B.V. All rights reserved.</t>
  </si>
  <si>
    <t>State Enterprise Red Star, Moscow 115230, Russia; RRC Kurchatov Inst, Nucl Fus Inst, Moscow 123182, Russia; Troitsk Inst Innovat &amp; Fus Res, Troitsk 142190, Moscow Region, Russia</t>
  </si>
  <si>
    <t>Evtikhin, YA (corresponding author), State Enterprise Red Star, Electrolitnij Proezd 1A, Moscow 115230, Russia.</t>
  </si>
  <si>
    <t>PII S0022-3115(02)01132-7</t>
  </si>
  <si>
    <t>WOS:000180647300155</t>
  </si>
  <si>
    <t>Zong, YH; Chen, XY; Chen, MM; Yan, WY; Zhang, XH; Zhang, CL; Sun, Z</t>
  </si>
  <si>
    <t>Zong, Yuhang; Chen, Xiaoyang; Chen, Mingming; Yan, Wenyi; Zhang, Xihua; Zhang, Chenglong; Sun, Zhi</t>
  </si>
  <si>
    <t>Criticality assessment and material flow analysis of raw materials for power lithium-ion batteries in China: Towards sustainable supply and recycling</t>
  </si>
  <si>
    <t>To ensure the sustainability of the power lithium-ion battery (PLIB) industry, assessing the criticality of raw materials (RMs) and cathode materials is crucial, as it evaluates their environmental and economic impact during supply disruptions. This work utilizes dynamic material flow analysis and an improved criticality matrix to assess the criticality of RMs and cathode materials under different scenarios. The results reveal that a considerable increase both in demand of Li, Ni, Co and Mn resources from 2015-2022, while the cumulative recycling volume of all materials remained small. When the collection framework for spent PLIBs is improved, the recycling of RMs in 2040 can achieve approximately 60% of the corresponding demand. The establishment of a sound waste management system and improvement on resource efficiency can minimize the criticality of ternary materials. This research highlights the need for enhanced recycling framework and strategic planning to ensure the sustainable supply of critical materials.</t>
  </si>
  <si>
    <t>[Zong, Yuhang; Chen, Xiaoyang; Chen, Mingming; Zhang, Xihua; Zhang, Chenglong] Shanghai Polytech Univ, Shanghai Collaborat Innovat Ctr WEEE Recycling, Sch Resources &amp; Environm Engn, Shanghai 201209, Peoples R China; [Yan, Wenyi; Sun, Zhi] Chinese Acad Sci, Inst Proc Engn, Beijing Engn Res Ctr Proc Pollut Control, Key Lab Green Proc &amp; Engn, Beijing 100190, Peoples R China; [Zong, Yuhang; Chen, Xiaoyang; Chen, Mingming; Zhang, Xihua; Zhang, Chenglong] 2360 Jinhai Rd, Shanghai 201209, Peoples R China; [Yan, Wenyi; Sun, Zhi] 1 North 2nd St, Beijing 100190, Peoples R China</t>
  </si>
  <si>
    <t>Zhang, XH (corresponding author), Shanghai Polytech Univ, Shanghai Collaborat Innovat Ctr WEEE Recycling, Sch Resources &amp; Environm Engn, Shanghai 201209, Peoples R China.;Sun, Z (corresponding author), Chinese Acad Sci, Inst Proc Engn, Beijing Engn Res Ctr Proc Pollut Control, Key Lab Green Proc &amp; Engn, Beijing 100190, Peoples R China.;Zhang, XH (corresponding author), 2360 Jinhai Rd, Shanghai 201209, Peoples R China.;Sun, Z (corresponding author), 1 North 2nd St, Beijing 100190, Peoples R China.</t>
  </si>
  <si>
    <t>zhangxh@sspu.edu.cn; sunzhi@ipe.ac.cn</t>
  </si>
  <si>
    <t>10.1016/j.resconrec.2025.108189</t>
  </si>
  <si>
    <t>WOS:001431264300001</t>
  </si>
  <si>
    <t>Zhou, YJ; Li, JW; Wang, GS; Chen, SY; Xing, WL; Li, TJ</t>
  </si>
  <si>
    <t>Zhou, Yanjing; Li, Jianwu; Wang, Gaoshang; Chen, Shouyu; Xing, Wanli; Li, Tianjiao</t>
  </si>
  <si>
    <t>Assessing the short-to medium-term supply risks of clean energy minerals for China</t>
  </si>
  <si>
    <t>Concerns about both climate change and energy security stress the importance of clean energy technologies. This paper examines the minerals used in clean energy technologies (mainly solar energy, wind energy and electric vehicles), of which 12 elements are identified to be dependent on resources outside China. Therefore, a quantitative, relative assessment of short-to medium-term supply risks is measured for 12 elements by analyzing the following factors: country concentration, import reliance, import concentration, country risk, depletion time, companion metal fraction, recycling potential and substitutability. The results highlight four elements to present a high risk, namely: tin, cobalt, chromium and nickel; while lithium, copper and titanium are the most impossible to encounter a supply disruption; the remaining five elements (silver, cadmium, zirconium, manganese and selenium) appear a moderate risk. An uncertainty analysis using Monte Carlo simulation shows a robust reliability on most of the 12 elements except for cobalt and tin. Mitigation strategies to alleviate the potential supply disruption are also discussed, such as broadening import sources; investing domestic and global mining; recycling and substitution; stockpiling. (C) 2019 Elsevier Ltd. All rights reserved.</t>
  </si>
  <si>
    <t>[Zhou, Yanjing; Chen, Shouyu] China Univ Geosci, Fac Earth Resources, Wuhan 430074, Peoples R China; [Zhou, Yanjing; Li, Jianwu; Wang, Gaoshang; Xing, Wanli] Chinese Acad Geol Sci, Res Ctr Strategy Global Mineral Resources, Beijing 100037, Peoples R China; [Li, Tianjiao] China Univ Geosci Beijing, Beijing 100083, Peoples R China</t>
  </si>
  <si>
    <t>Li, JW (corresponding author), Chinese Acad Geol Sci, Inst Mineral Resources, 26 Baiwanzhuang St, Beijing 100037, Peoples R China.</t>
  </si>
  <si>
    <t>jwli67@126.com</t>
  </si>
  <si>
    <t>APR 1</t>
  </si>
  <si>
    <t>10.1016/j.jclepro.2019.01.064</t>
  </si>
  <si>
    <t>WOS:000459358300018</t>
  </si>
  <si>
    <t>Sterba, J; Krzemien, A; Fernández, PR; García-Miranda, CE; Valverde, GF</t>
  </si>
  <si>
    <t>Sterba, Jiri; Krzemien, Alicja; Riesgo Fernandez, Pedro; Escanciano Garcia-Miranda, Carmen; Fidalgo Valverde, Gregorio</t>
  </si>
  <si>
    <t>Lithium mining: Accelerating the transition to sustainable energy</t>
  </si>
  <si>
    <t>In the actual context of climate change threats, lithium batteries fulfil lot of expectations in order to achieve a cleaner and more sustainable solution for transports, embodied by electric vehicles. According to different studies that identified a noticeable discrepancy between consumption and production, undersupply should be expected until 2045 in the European Union. Thus, ensuring lithium supply for the growth of energy-sustainable industrialised countries is crucial, and different approaches should be undertaken as for the purpose of technological transition, time matters. This paper focuses in analysing lithium prices and their expected evolution. It also studies in deep five ready to-go lithium mining investment projects worldwide: Whabouchi Project in Canada, Keliber Project in Finland, Cauchari-Olaroz Salars Project in Argentina, Sonora Project in Mexico, and Pilgangoora Project in Australia. The main purpose being to provide an exhaustive analysis of lithium mining investment in order to facilitate the development of preliminary economic assessments of future mining projects, fighting again supply disruption and accelerating the transition to sustainable energy. Conclusions: state in first place that prices are expected to return to a more stable behaviour, mainly based on a ramping up of the production by miners, as there are sufficient lithium recoverable resources in order to ensure the demand of future electric vehicles. Moreover, recycling of lithium batteries will represent a significant supply for the future. In second place, an order of magnitude both technical and economic of this mining industry is given. Two aspects can be highlighted: (1) it was possible to establish a linear correlation between the capital expense of the lithium mining investment projects and their expected production of lithium carbonate; and (2) continental brine deposits, where the extraction of lithium is conducted by evaporation processes in man-made ponds, will not represent a push out of the market for the lithium extracted from hard rocks and clays using conventional mining methods as they have almost the same operating costs.</t>
  </si>
  <si>
    <t>[Sterba, Jiri] Univ Oviedo, Doctorate Program Prod Min Environm &amp; Project Eng, Independencia 13, Oviedo 33004, Spain; [Krzemien, Alicja] Cent Min Inst, Dept Risk Assessment &amp; Ind Safety, Plac Gwarkow 1, PL-40166 Katowice, Poland; [Riesgo Fernandez, Pedro; Escanciano Garcia-Miranda, Carmen; Fidalgo Valverde, Gregorio] Univ Oviedo, Sch Min Energy &amp; Mat Engn, Independencia 13, Oviedo 33004, Spain</t>
  </si>
  <si>
    <t>Krzemien, A (corresponding author), Cent Min Inst, Dept Risk Assessment &amp; Ind Safety, Plac Gwarkow 1, PL-40166 Katowice, Poland.</t>
  </si>
  <si>
    <t>george.sterba29@gmail.com; akrzemien@gig.eu; priesgo@uniovi.es; cescan@uniovi.es; gregorio.fidalgo@gmail.com</t>
  </si>
  <si>
    <t>AUG</t>
  </si>
  <si>
    <t>10.1016/j.resourpol.2019.05.002</t>
  </si>
  <si>
    <t>WOS:000474330600036</t>
  </si>
  <si>
    <t>Zhao, YF; Yunzong, L; Wang, XR; Fan, WH</t>
  </si>
  <si>
    <t>Zhao, Yufei; Yunzong, Lamu; Wang, Xiangrui; Fan, Wenhong</t>
  </si>
  <si>
    <t>Enhanced bioaccumulation and toxicity of lithium iron phosphate micro/ nanoparticles relative to lithium ions in Daphnia magna neonates</t>
  </si>
  <si>
    <t>AQUATIC TOXICOLOGY</t>
  </si>
  <si>
    <t>Growing demand for lithium driven by clean energy technologies has raised environmental risks to aquatic ecosystems. However, research on its ecological toxicity remains limited, with most studies focusing on lithium ion toxicity, while particulate lithium toxicity is poorly understood. In this study, lithium iron phosphate (LFP) with two particle sizes, as well as lithium ions, were selected to investigate their biokinetic processes and toxic effects in Daphnia magna neonates. Using the two-compartment toxicokinetic model, the results indicate that LFP exhibits a higher bio-accumulation potential than ions, with accumulation being more pronounced in the mu mscale particles compared to the nm-scale. Furthermore, lithium causes developmental disorders, including reduced length and eyespot deformities, through disruption of ionic balance and energy supply. These effects are more severe under LFP exposure. Due to its small size and easy internalization, nm-LFP causes more severe oxidative stress compared to mu m-LFP, as evidenced by the accumulation of reactive oxygen species and malondialdehyde, while lithium ions minimally affect antioxidant systems. The results emphasize the critical role of lithium form and size specificity in biokinetic and toxicity, providing a basis for assessing ecological risk of lithium-based battery materials in aquatic environments. Environmental implication Lithium is widely used in energy, industrial production, and pharmaceuticals. There are few studies on the aquatic toxicity of lithium, and most of them focus on the toxicity of lithium ions. The present study indicated that lithium iron phosphate micro/nanoparticles were more likely to accumulate in D. magna than lithium ions. Environmental concentrations of nano-lithium iron phosphate can influent ionic disorder and energy supply, as well as causing more severe oxidative stress than mu m-level. The results highlight the key role of the form and size specificity of lithium in biodynamics and toxic effects, which deserves more attention.</t>
  </si>
  <si>
    <t>[Zhao, Yufei; Yunzong, Lamu; Wang, Xiangrui; Fan, Wenhong] Beihang Univ, Sch Mat Sci &amp; Engn, Beijing 100191, Peoples R China</t>
  </si>
  <si>
    <t>Wang, XR; Fan, WH (corresponding author), Beihang Univ, Sch Mat Sci &amp; Engn, Beijing 100191, Peoples R China.</t>
  </si>
  <si>
    <t>faygozyf@163.com; wang_xr@buaa.edu.cn; fanwh@buaa.edu.cn</t>
  </si>
  <si>
    <t>10.1016/j.aquatox.2025.107596</t>
  </si>
  <si>
    <t>OCT 2025</t>
  </si>
  <si>
    <t>WOS:001595287200001</t>
  </si>
  <si>
    <t>Luo, YQ; Ierapetritou, M</t>
  </si>
  <si>
    <t>Luo, Yuqing; Ierapetritou, Marianthi</t>
  </si>
  <si>
    <t>Design and operation of modular biorefinery supply chain under uncertainty using generalized Benders decomposition</t>
  </si>
  <si>
    <t>AICHE JOURNAL</t>
  </si>
  <si>
    <t>Biomass supply chain performance is heavily affected by uncertainties stemming from supply, demand, or unexpected disruptions. Unlike petrochemical plants that use crude oil, biorefineries often have to deal with the uneven spatial-temporal distribution of feedstock supply. The modular production strategy provides more flexibility in chemical manufacturing by allowing fast capacity expansion and unit movement. However, modeling and optimizing modular biomass supply chain under uncertainties becomes challenging due to high dimensionality and the existence of discrete decisions. This work optimizes the multiperiod biomass supply chain using the rolling horizon planning and two-stage stochastic programming framework. We then applied generalized Benders decomposition to reduce the computational complexity of the stochastic mixed integer nonlinear programming supply chain optimization. Furthermore, the solution of the stochastic programming could be used to quantitatively describe the life-cycle assessment uncertainties of the biomass supply chain performance, demonstrating seasonality and random variability.</t>
  </si>
  <si>
    <t>[Luo, Yuqing; Ierapetritou, Marianthi] Univ Delaware, Dept Chem &amp; Biomol Engn, 150 Acad St, Newark, DE 19716 USA</t>
  </si>
  <si>
    <t>Ierapetritou, M (corresponding author), Univ Delaware, Dept Chem &amp; Biomol Engn, 150 Acad St, Newark, DE 19716 USA.</t>
  </si>
  <si>
    <t>mgi@udel.edu</t>
  </si>
  <si>
    <t>10.1002/aic.18458</t>
  </si>
  <si>
    <t>APR 2024</t>
  </si>
  <si>
    <t>WOS:001206773000001</t>
  </si>
  <si>
    <t>Yuan, PF; Li, D; Feng, KS; Wang, HM; Wang, P; Li, JS</t>
  </si>
  <si>
    <t>Yuan, Pengfei; Li, Dan; Feng, Kuishuang; Wang, Heming; Wang, Peng; Li, Jiashuo</t>
  </si>
  <si>
    <t>Assessing the supply risks of critical metals in China's low-carbon energy transition</t>
  </si>
  <si>
    <t>GLOBAL ENVIRONMENTAL CHANGE-HUMAN AND POLICY DIMENSIONS</t>
  </si>
  <si>
    <t>The unprecedented low -carbon energy transition has heightened concerns about the security of critical metals (CMs) supplies that are essential for clean energy technologies. As the world's largest consumer and importer, China's CMs supply may face significant challenges due to geopolitical uncertainties, price volatility, and other dynamics. Here, we introduce a risk -modeling framework to holistically gauge the multifaceted supply risks for 30 CMs embedded in clean energy technology spanning from 2008 to 2020. Our analysis indicates that approximately one-third of CMs supplies grapple with elevated risk, and half of these CMs are associated with electric vehicle manufacturing. These risks stem mainly from significant disruption potential (e.g., lithium and palladium) and substantial import reliance (e.g., nickel and niobium). Although China's overall CMs supply risk has remained relatively stable, the nation has grown increasingly susceptible to disruptions, especially with the surge in clean energy initiatives and associated price hikes. Our detailed analysis of the risk comparison reveals that China's supply risk for nine metals (e.g., copper and chromium) exceeds that of other countries that consume large amounts of CMs. Therefore, by adopting focused strategies related to metals, both governments and industries could benefit from global partnerships, strategic stockpiling, early warning mechanisms and sustainable supply chain management, paving the way for a smooth low -carbon energy transition for China.</t>
  </si>
  <si>
    <t>[Yuan, Pengfei; Li, Dan; Li, Jiashuo] Shandong Univ, Inst Blue &amp; Green Dev, Weihai 264209, Peoples R China; [Feng, Kuishuang] Univ Maryland, Dept Geog Sci, College Pk, MD 20742 USA; [Wang, Heming] Northeastern Univ, State Environm Protect Key Lab Ecoind, Shenyang 110819, Peoples R China; [Wang, Peng] Univ Chinese Acad Sci, Beijing 100864, Peoples R China; [Wang, Peng] Chinese Acad Sci, Inst Urban Environm, Key Lab Urban Environm &amp; Hlth, Xiamen 361021, Peoples R China</t>
  </si>
  <si>
    <t>Li, JS (corresponding author), Shandong Univ, Inst Blue &amp; Green Dev, Weihai 264209, Peoples R China.</t>
  </si>
  <si>
    <t>lijiashuo@sdu.edu.cn</t>
  </si>
  <si>
    <t>10.1016/j.gloenvcha.2024.102825</t>
  </si>
  <si>
    <t>MAR 2024</t>
  </si>
  <si>
    <t>WOS:001207940200001</t>
  </si>
  <si>
    <t>Leon, EM; Miller, SA</t>
  </si>
  <si>
    <t>Leon, Evan M.; Miller, Shelie A.</t>
  </si>
  <si>
    <t>An applied analysis of the recyclability of electric vehicle battery packs</t>
  </si>
  <si>
    <t>Current lithium-ion battery (LiB) recycling infrastructure is limited for strategic metals such as lithium and cobalt, despite projections that millions of electric vehicles (EVs) will hit the road in the next decade. Governments have labeled lithium and cobalt as strategic due to their importance in emerging green technologies as well as critical due to the increased risk of supply disruption resulting from geographic supply concentration, low substitutability, and low end-of-life recycling rates (EOL-RR's). This paper aims to assist stakeholders conceptualize EV battery packs as a source of strategic metals and to help improve EOL-RR's for lithium and cobalt. Specifically, this paper demonstrates the value of EV battery packs as a source of metals compared to natural resources and outlines advantages and disadvantages of thermal and mechanical recycling processes in terms of energy consumption, variable costs and maximum recoverable metal value. Findings suggest that EV battery packs contain favorable concentrations - often 1 magnitude higher - of lithium, cobalt, nickel and copper compared to respective economic ores. Disassembling the EV battery pack to the cell level increases cobalt, lithium and nickel concentrations since they are part of the cathode active material. Between thermal and mechanical recycling processes, the key tradeoff is between process time and ability to recover lithium. Thermal recycling requires less processing time than mechanical recycling, resulting in lower variable costs per battery pack, but mechanical recycling yields a higher maximum recoverable metal value since lithium can be recovered along with cobalt, copper and nickel.</t>
  </si>
  <si>
    <t>[Leon, Evan M.; Miller, Shelie A.] Univ Michigan, Ctr Sustainable Syst, Sch Environm &amp; Sustainabil, Dana Bldg,440 Church St, Ann Arbor, MI 48109 USA</t>
  </si>
  <si>
    <t>Leon, EM (corresponding author), Univ Michigan, Ctr Sustainable Syst, Sch Environm &amp; Sustainabil, Dana Bldg,440 Church St, Ann Arbor, MI 48109 USA.</t>
  </si>
  <si>
    <t>evanml@umich.edu</t>
  </si>
  <si>
    <t>10.1016/j.resconrec.2020.104593</t>
  </si>
  <si>
    <t>WOS:000540606400005</t>
  </si>
  <si>
    <t>Rindt, P; Morgan, TW; Jaworski, MA; Cardozo, NJL</t>
  </si>
  <si>
    <t>Rindt, P.; Morgan, T. W.; Jaworski, M. A.; Cardozo, N. J. Lopes</t>
  </si>
  <si>
    <t>Power handling limit of liquid lithium divertor targets</t>
  </si>
  <si>
    <t>NUCLEAR FUSION</t>
  </si>
  <si>
    <t>A model is formulated to make a first estimate of the maximum tolerable power of liquid lithium (Li) divertor targets, and to gain insight into their behaviour in terms of Li loss rate and surface temperature. The model, formulated as a simple analytical expression, states that the incoming power is balanced by heat conduction through the target and by the Li which dissipates energy via evaporation, radiation and ion-neutral friction. A target is considered to fail when the net Li loss flux from the surface exceeds the available supply. The model is evaluated over a range of input parameters: Li supply rate, surface layer thickness, redeposition coefficient, and dissipated energy per Li particle lost to the plasma. Based on the results, first, surface temperature locking is expected above a deposited power of similar to 10 MW m(-2). Second, Li targets are expected to be extremely robust against power deposited during short transient events. A surface layer thickness of 50 micron is sufficient to withstand 60 MJ m(-2) vertical displacement events or 20 MJ m(-2) disruptions.</t>
  </si>
  <si>
    <t>[Rindt, P.; Cardozo, N. J. Lopes] Eindhoven Univ Technol, Sci &amp; Technol Nucl Fus Grp, Eindhoven, Netherlands; [Morgan, T. W.] DIFFER, Zaale 20, NL-5612 AJ Eindhoven, Netherlands; [Jaworski, M. A.] Princeton Plasma Phys Lab, Princeton, NJ USA</t>
  </si>
  <si>
    <t>Rindt, P (corresponding author), Eindhoven Univ Technol, Sci &amp; Technol Nucl Fus Grp, Eindhoven, Netherlands.</t>
  </si>
  <si>
    <t>p.rindt@tue.nl</t>
  </si>
  <si>
    <t>OCT</t>
  </si>
  <si>
    <t>10.1088/1741-4326/aad290</t>
  </si>
  <si>
    <t>WOS:000440547800001</t>
  </si>
  <si>
    <t>Lewicka, ED; Burkowicz, A; Babii, K; Riumina, D; Szlugaj, J; Kamyk, J; Galas, A</t>
  </si>
  <si>
    <t>Lewicka, Ewa Danuta; Burkowicz, Anna; Babii, Kateryna; Riumina, Daria; Szlugaj, Jaroslaw; Kamyk, Jaroslaw; Galas, Andrzej</t>
  </si>
  <si>
    <t>The impact of the war in Ukraine on the supply of selected raw materials to Poland and to the European Union</t>
  </si>
  <si>
    <t>GOSPODARKA SUROWCAMI MINERALNYMI-MINERAL RESOURCES MANAGEMENT</t>
  </si>
  <si>
    <t>This article provides an up-to-date picture of the consequences of Russia's armed aggression (supported by Belarus) against Ukraine for the economy of selected non-energy mineral raw materials in Poland and the European Union. Three years from February 2022, when Russia invaded Ukraine, escalating a conflict that began in 2014, it is possible to assess the implications of the war for the Polish industry, as well as its impact on the EU due to the disruption of supplies of certain mineral raw materials from Russia, Belarus and Ukraine. The article also highlights the current challenges facing the Ukrainian mining and processing industry due to limited logistics and war damage, particularly in the eastern part of the country. One of the most significant phenomena to emerge following the outbreak of full-scale conflict is the need to rebuild raw material supply chains in European Union countries. Among the non-energy commodities imported from countries involved in the war, the most significant in terms of value of supply and actual share in satisfying demand in Poland were selected: iron ores and concentrates, carbon black, ferroalloys, nickel, kaolinitic clays (ball and refractory clays), aluminium, potassium salts, lithium oxides and hydroxides. The sectors most at risk from reduced supplies of these minerals have also been identified. These are mainly the iron and steel, and non-ferrous metals industries, and consequently the construction, transport, machinery, engineering, and other related industries, as well as the ceramics industry. Possible measures to reduce supply disruptions for the raw materials analysed include finding new sources (diversification of imports, substitution, growth of domestic production) and improving the efficiency of recycling and the use of secondary raw materials.</t>
  </si>
  <si>
    <t>[Lewicka, Ewa Danuta; Burkowicz, Anna; Szlugaj, Jaroslaw; Kamyk, Jaroslaw; Galas, Andrzej] PAS, Mineral &amp; Energy Econ Res Inst, Krakow, Poland; [Babii, Kateryna; Riumina, Daria] Natl Acad Sci Ukraine, MS Poliakov Inst Geotech Mech, Dnipro, Ukraine</t>
  </si>
  <si>
    <t>Lewicka, ED (corresponding author), PAS, Mineral &amp; Energy Econ Res Inst, Krakow, Poland.</t>
  </si>
  <si>
    <t>lewicka@min-pan.krakow.pl; burkowicz@min-pan.krakow.pl; 776babiy@gmail.com; darya445@gmail.com; szlugaj@min-pan.krakow.pl; kamyk@min-pan.krakow.pl; agalas@min-pan.krakow.pl</t>
  </si>
  <si>
    <t>10.24425/gsm.2025.155341</t>
  </si>
  <si>
    <t>WOS:001596883000001</t>
  </si>
  <si>
    <t>Räisänen, H; Hakala, E; Ahokas, J; Kaaronen, R; Manninen, MA; Parviainen, T; Toivanen, T; Vadén, T; Eronen, JT</t>
  </si>
  <si>
    <t>Raisanen, Helmi; Hakala, Emma; Ahokas, Jussi; Kaaronen, Roope; Manninen, Mikael A.; Parviainen, Tuuli; Toivanen, Tero; Vaden, Tere; Eronen, Jussi T.</t>
  </si>
  <si>
    <t>Supply chain imaginaries of the green transition: Resource governance in the Finnish battery cluster</t>
  </si>
  <si>
    <t>FUTURES</t>
  </si>
  <si>
    <t>The significance of several resource-intensive supply chains has been highlighted as societies around the world seek to decarbonize their emissions-intensive sectors. Especially the efforts to modify energy and transport systems are driving a significant increase in global demand for battery minerals such as lithium, nickel and cobalt. Simultaneously, the US-China trade war, COVID-19 and Russian invasion of Ukraine are among some of the recent events that have revealed the vulnerability of complex global supply chains to disruptions. Thus, resilience of supply chains and 'strategic autonomy' have gained importance among policymakers. In this paper, we study this emerging governance of resources and of supply chains of green transition through the analytical lens of socio-technical imaginaries. As a case, we focus on the Finnish battery cluster as an application of the European imaginary of strategic autonomy. Based on an interpretive and qualitative analysis of semi-structured interviews and publicly available documents, we investigate what kind of geopolitical and ecological order the imaginary of the battery cluster helps to co-produce. The battery cluster imaginary appears as a continuation of previously studied Finnish transition imaginaries that emphasise national economic benefits over ecological ones, and thus the imaginary does not lend itself to systematic transformation of the energy system. While patents and technologies are becoming central in geopolitical competition, material resources remain important.</t>
  </si>
  <si>
    <t>[Raisanen, Helmi; Hakala, Emma] Finnish Inst Int Affairs, Arkadiankatu 23 B, Helsinki 00100, Finland; [Raisanen, Helmi; Toivanen, Tero] Univ Helsinki, Fac Social Sci, Unioninkatu 37, Helsinki 00014, Finland; [Raisanen, Helmi; Kaaronen, Roope; Manninen, Mikael A.; Parviainen, Tuuli; Eronen, Jussi T.] Univ Helsinki, Fac Biol &amp; Environm Sci, PAES Res Unit, Viikinkaari 1, Helsinki 00790, Finland; [Raisanen, Helmi; Kaaronen, Roope; Parviainen, Tuuli] Univ Helsinki, Helsinki Inst Sustainabil Sci HELSUS, Yliopistonkatu 3, Helsinki 00100, Finland; [Hakala, Emma; Ahokas, Jussi; Toivanen, Tero; Vaden, Tere] BIOS Res Unit, Meritullintori 6 A 14, Helsinki 00170, Finland; [Hakala, Emma] Univ Helsinki, Erik Castren Inst, Yliopistonkatu 3, Helsinki 00101, Finland</t>
  </si>
  <si>
    <t>Räisänen, H (corresponding author), Finnish Inst Int Affairs, Arkadiankatu 23 B, Helsinki 00100, Finland.</t>
  </si>
  <si>
    <t>helmi.raisanen@helsinki.fi</t>
  </si>
  <si>
    <t>10.1016/j.futures.2025.103668</t>
  </si>
  <si>
    <t>WOS:001555405700001</t>
  </si>
  <si>
    <t>Chintakindi, R; Kamisetti, P</t>
  </si>
  <si>
    <t>Chintakindi, Raju; Kamisetti, Prakash</t>
  </si>
  <si>
    <t>Design and Validation of Polymer-Separated Lithium-Ion Battery Powered Mini-UPS For Networking Applications</t>
  </si>
  <si>
    <t>JOURNAL OF POLYMER &amp; COMPOSITES</t>
  </si>
  <si>
    <t>Review</t>
  </si>
  <si>
    <t>Due to the growing use of semiconductor-based electronic devices in networking applications, power interruptions can cause data loss, productivity loss, and system disruptions. To eliminate these outages, Mini Uninterruptible Power Supplies are expensive and have single-use batteries with shorter battery lives. These networking wires, cables, and other electrical components are polymer-insulated. Polymers with low dielectric constants have the potential to improve antenna interlayer dielectrics, communication cables, and other hardware for high-speed wireless communication. Lithium-ion battery management systems use polyolefin separators. This study designs and validates a small, costeffective, and efficient reusable power backup system for internet users with Wi-Fi routers, power grid monitoring security cameras, home electronics, and emergency medical equipment. This study looks at the basic ideas behind polymer-separated lithium-ion batteries. It covers things like operation theory, circuit analysis, charging and discharging modes, and electrochemical reactions. The work examines the operation of the constant current (CC) and constant voltage (CV)-controlled DC to DC Buck Converter XL4015 model Mini-UPS, the construction, functional diagram, and operational process of the DC-DC boost converter XL6019, as well as the circuit, operational diagrams, and Schottky diode requirements of the lithium-ion battery management system (BMS-2S). The proposed method entails designing a hardware-based, hands-on, prototype rechargeable battery management system-powered Mini-UPS and analyzing its performance in real-time applications.</t>
  </si>
  <si>
    <t>[Chintakindi, Raju; Kamisetti, Prakash] Vaagdevi Coll Engn, Dept Elect &amp; Elect Engn, Warangal, Telangana, India</t>
  </si>
  <si>
    <t>Chintakindi, R (corresponding author), Vaagdevi Coll Engn, Dept Elect &amp; Elect Engn, Warangal, Telangana, India.</t>
  </si>
  <si>
    <t>SI</t>
  </si>
  <si>
    <t>S917</t>
  </si>
  <si>
    <t>S933</t>
  </si>
  <si>
    <t>WOS:001461596000036</t>
  </si>
  <si>
    <t>Talan, D; Huang, QQ</t>
  </si>
  <si>
    <t>Talan, Deniz; Huang, Qingqing</t>
  </si>
  <si>
    <t>A review study of rare Earth, Cobalt, Lithium, and Manganese in Coal-based sources and process development for their recovery</t>
  </si>
  <si>
    <t>MINERALS ENGINEERING</t>
  </si>
  <si>
    <t>The world's majority predominantly relies on foreign sources for supplying critical minerals. This renders the countries susceptible to supply chain disruption and urges them to develop alternative sources to compete in technological advancements. Among many proven newly identified sources, coal and coal-based materials present their opportunities. Due to the complex structure of coal, many mineral forms can be found in coal -related sources, including critical element-containing minerals. Among the fifty critical elements and minerals defined by the USGS, the rare earth elements, cobalt, lithium, and manganese, are particularly significant as they have enormous importance in high-technology product development. These critical metals can be found in high concentrations in coal-derived sources, such as coal refuse, coal combustion products, and coal acid mine drainage, and be recovered through various separation techniques. This study aims to advance the understanding of these elements' extraction and commercial potential from coal and coal-related sources and help address the world's challenges in the critical mineral supply chain. The concentrations and occurrences of these four com-modities in coal-related sources were first reviewed. Later, their recovery processes were discussed, and a conceptual process flowsheet was proposed to selectively recover the rare earth elements, lithium, cobalt, and manganese from coal-based sources.</t>
  </si>
  <si>
    <t>[Talan, Deniz; Huang, Qingqing] West Virginia Univ, Dept Min Engn, 365 Mineral Resources Bldg,1374 Evansdale Dr, Morgantown, WV 26506 USA</t>
  </si>
  <si>
    <t>Talan, D; Huang, QQ (corresponding author), West Virginia Univ, Dept Min Engn, 365 Mineral Resources Bldg,1374 Evansdale Dr, Morgantown, WV 26506 USA.</t>
  </si>
  <si>
    <t>deniz.talan@mail.wvu.edu; qingqing.huang@mail.wvu.edu</t>
  </si>
  <si>
    <t>NOV</t>
  </si>
  <si>
    <t>10.1016/j.mineng.2022.107897</t>
  </si>
  <si>
    <t>OCT 2022</t>
  </si>
  <si>
    <t>WOS:000903969400002</t>
  </si>
  <si>
    <t>Schlosser, SJ; Naegler, T</t>
  </si>
  <si>
    <t>Schlosser, Steffen J.; Naegler, Tobias</t>
  </si>
  <si>
    <t>Raw material risk in clean energy technologies and the power supply system: For which materials should price fluctuations be prioritised?</t>
  </si>
  <si>
    <t>ENERGY REPORTS</t>
  </si>
  <si>
    <t>Transformation strategies for climate-friendly energy systems are often obtained with cost-optimising system models (ESMs). Although technology cost assumptions considerably affect model outputs, the-art ESMs generally do not account for the dependence of technology prices on potential price fluctuations. Owing to the large number of raw materials required in central clean energy (CETs), such as photovoltaics, batteries, offshore and onshore wind power, electrolysers, or fuel future consideration of raw material price fluctuations in ESMs to derive resilient energy system transformation strategies requires prioritising the raw materials considered. We therefore provide a framework for raw materials whose price fluctuations should be explicitly considered in ESM-based energy scenarios. materials associated with the highest CET-specific risk are determined based on an estimate of contributions of selected raw materials to technology costs as well as their geopolitical and supply disruption likelihood (SDL). The analysis is performed both at the level of individual central at the level of power supply scenarios, which aggregate over several CETs. From the system perspective, materials with the highest price risk are steel alloy materials (iron, chromium, nickel), rare earth (neodymium and dysprosium), lithium, and silicon. High-risk materials at the level of individual differ.</t>
  </si>
  <si>
    <t>[Schlosser, Steffen J.; Naegler, Tobias] German Aerosp Ctr DLR, Inst Networked Energy Syst, Curiestr 4, D-70563 Stuttgart, Germany</t>
  </si>
  <si>
    <t>Schlosser, SJ (corresponding author), German Aerosp Ctr DLR, Inst Networked Energy Syst, Curiestr 4, D-70563 Stuttgart, Germany.</t>
  </si>
  <si>
    <t>steffen.schlosser@dlr.de</t>
  </si>
  <si>
    <t>10.1016/j.egyr.2025.03.051</t>
  </si>
  <si>
    <t>APR 2025</t>
  </si>
  <si>
    <t>WOS:001483173700001</t>
  </si>
  <si>
    <t>Brown, T</t>
  </si>
  <si>
    <t>Brown, Teresa</t>
  </si>
  <si>
    <t>Measurement of mineral supply diversity and its importance in assessing risk and criticality</t>
  </si>
  <si>
    <t>The diversity of supply, or conversely its concentration, has become one of the key factors in measuring the criticality of minerals. The premise is that if supply is limited to just a few major suppliers the risk of supply disruption is increased, although in reality it depends on many more factors that can be complicated to measure. In addition, there is a wide range of possible methods for measuring supply diversity or concentration, some involving the use of complicated formulas, which can easily become bewildering to the non-statistician. Often the intricacies of their use, the data inputs and sources, and the resulting indices, are not fully understood with the consequent risk of misinformed decisions being based upon them. This paper examines a selection of the available indicators, discusses their limitations and illustrates how a simple index, such as concentration ratio, can be as informative as more complicated approaches. Further, it uses the trends in supply diversity for five minerals (fluorspar, lithium, coal, copper and nickel), taken at decadal intervals over the past century, to demonstrate that a snapshot index taken at a single point in time does not accurately determine whether the level of supply concentration is a cause for concern.</t>
  </si>
  <si>
    <t>[Brown, Teresa] British Geol Survey, Ctr Environm Sci, Keyworth NG12 5GG, Notts, England</t>
  </si>
  <si>
    <t>Brown, T (corresponding author), British Geol Survey, Ctr Environm Sci, Keyworth NG12 5GG, Notts, England.</t>
  </si>
  <si>
    <t>tbrown@bgs.ac.uk</t>
  </si>
  <si>
    <t>10.1016/j.resourpol.2018.05.007</t>
  </si>
  <si>
    <t>WOS:000447105800020</t>
  </si>
  <si>
    <t>Karabelli, D; Kiemel, S; Singh, S; Koller, J; Ehrenberger, S; Miehe, R; Weeber, M; Birke, KP</t>
  </si>
  <si>
    <t>Karabelli, Duygu; Kiemel, Steffen; Singh, Soumya; Koller, Jan; Ehrenberger, Simone; Miehe, Robert; Weeber, Max; Birke, Kai Peter</t>
  </si>
  <si>
    <t>Tackling xEV Battery Chemistry in View of Raw Material Supply Shortfalls</t>
  </si>
  <si>
    <t>FRONTIERS IN ENERGY RESEARCH</t>
  </si>
  <si>
    <t>The growing number of Electric Vehicles poses a serious challenge at the end-of-life for battery manufacturers and recyclers. Manufacturers need access to strategic or critical materials for the production of a battery system. Recycling of end-of-life electric vehicle batteries may ensure a constant supply of critical materials, thereby closing the material cycle in the context of a circular economy. However, the resource-use per cell and thus its chemistry is constantly changing, due to supply disruption or sharply rising costs of certain raw materials along with higher performance expectations from electric vehicle-batteries. It is vital to further explore the nickel-rich cathodes, as they promise to overcome the resource and cost problems. With this study, we aim to analyze the expected development of dominant cell chemistries of Lithium-Ion Batteries until 2030, followed by an analysis of the raw materials availability. This is accomplished with the help of research studies and additional experts' survey which defines the scenarios to estimate the battery chemistry evolution and the effect it has on a circular economy. In our results, we will discuss the annual demand for global e-mobility by 2030 and the impact of Nickel-Manganese-Cobalt based cathode chemistries on a sustainable economy. Estimations beyond 2030 are subject to high uncertainty due to the potential market penetration of innovative technologies that are currently under research (e.g. solid-state Lithium-Ion and/or sodium-based batteries).</t>
  </si>
  <si>
    <t>[Karabelli, Duygu; Kiemel, Steffen; Singh, Soumya; Miehe, Robert; Weeber, Max; Birke, Kai Peter] Fraunhofer Inst Mfg Engn &amp; Automat IPA, Stuttgart, Germany; [Koller, Jan] Fraunhofer Inst Mfg Engn &amp; Automat IPA, Bayreuth, Germany; [Ehrenberger, Simone] German Aerosp Ctr DLR, Inst Vehicle Concepts, Stuttgart, Germany; [Birke, Kai Peter] Univ Stuttgart, Inst Photovolta, Stuttgart, Germany</t>
  </si>
  <si>
    <t>Karabelli, D (corresponding author), Fraunhofer Inst Mfg Engn &amp; Automat IPA, Stuttgart, Germany.</t>
  </si>
  <si>
    <t>duygu.kaus@ipa.fraunhofer.de</t>
  </si>
  <si>
    <t>NOV 24</t>
  </si>
  <si>
    <t>10.3389/fenrg.2020.594857</t>
  </si>
  <si>
    <t>WOS:000599627300001</t>
  </si>
  <si>
    <t>Gulley, AL</t>
  </si>
  <si>
    <t>Gulley, Andrew L.</t>
  </si>
  <si>
    <t>One hundred years of cobalt production in the Democratic Republic of the Congo</t>
  </si>
  <si>
    <t>Cobalt is an indispensable element for the manufacture of strategic technologies including advanced batteries, jet engines, rare-earth permanent magnets, petroleum catalysts, and tool parts that enable construction, manufacturing, and mining. Cobalt routinely scores high in mineral supply risk assessments due to the concentration of cobalt mine production in the Democratic Republic of the Congo (DRC). This stands in contrast to the fact that DRC cobalt mine production had a 20% compound annual growth rate from 1995 through 2020-in large part due to investments by Chinese firms beginning in the mid-2000s. Given this continuous growth, one may ask why this supply is perceived to be so risky. This analysis illuminates the causes of historic disruptions to DRC cobalt mine and refinery production by analyzing country-level production, historical reports, and cobalt prices back to 1924. The results indicate that the main causes of supply disruptions were damage to transportation mutes, underinvestment in maintaining nationalized mining assets, and the disintegration of the DRC economy during the early 1990s. On the other hand, cobalt mine production increased 50% from 1977 to 1979 despite two secessionist conflicts in DRC's cobalt producing region and increased seven-fold from 1996 to 2003 despite two African wars over the DRC and its resources. These results indicate that-barring another economic disintegration or mining industry nationalization-DRC mine production will likely continue to be the dominant supplier of the world's growing demand for cobalt in lithium-ion batteries. These results also indicate that sustained development of transportation (and other) infrastructure in Africa, as well as support for good governance in the DRC may prove key to the continued stability of DRC cobalt mine supplies.</t>
  </si>
  <si>
    <t>[Gulley, Andrew L.] Natl Minerals Informat Ctr, US Geol Survey, Mailstop 988, 12201 Sunrise Valley Dr, Reston, VA 20192 USA</t>
  </si>
  <si>
    <t>Gulley, AL (corresponding author), Natl Minerals Informat Ctr, US Geol Survey, Mailstop 988, 12201 Sunrise Valley Dr, Reston, VA 20192 USA.</t>
  </si>
  <si>
    <t>agulley@usgs.gov</t>
  </si>
  <si>
    <t>10.1016/j.resourpol.2022.103007</t>
  </si>
  <si>
    <t>WOS:000867670600002</t>
  </si>
  <si>
    <t>Song, Y; Xu, L; Li, J; Taherian, H; Zhang, Y; Liu, D; Li, ZW; Hou, GY</t>
  </si>
  <si>
    <t>Song, Ying; Xu, Lei; Li, Jun; Taherian, Hessam; Zhang, Yu; Liu, Ding; Li, Zhiwu; Hou, Gaoyang</t>
  </si>
  <si>
    <t>Multi-objective optimization and long-term performance evaluation of a hybrid solar-hydrogen energy system with retired electric vehicle batteries for off-grid power and heat supply</t>
  </si>
  <si>
    <t>INTERNATIONAL JOURNAL OF HYDROGEN ENERGY</t>
  </si>
  <si>
    <t>This paper presents a novel off-grid hybrid renewable energy system integrated with hydrogen production and retired electric vehicle (EV) batteries for combined power and heat supply to a small rural community. The system consists of photovoltaic (PV) panels, evacuated tube solar collectors, a proton exchange membrane fuel cell (PEMFC), an alkaline electrolyzer, compressed hydrogen storage tanks, and reused lithium-ion batteries from EVs. A new battery model is developed in the Transient System Simulation Program (TRNSYS) to capture the capacity degradation of retired batteries. A two-stage energy management strategy is proposed to regulate power flow and maximize solar energy utilization. The system is optimized for minimum power supply disruption, hot water supply disruption, energy waste, and annualized costs over a 20-year lifetime using a multi-objective NSGA-II algorithm coupling MATLAB and TRNSYS. Optimization results reveal tradeoffs between the competing objectives. Dynamic simulations show the water tank temperature fluctuates between 20 and 100 degrees C with mean values dropping slightly in later years due to battery degradation. Energy waste from components rises in later years for the same reason. The replacement interval for a retired EV battery module is around 2.5 years. The integrated system proves feasible for off-grid combined power and heat supply using solar energy and retired EV batteries as storage, though battery degradation impacts long-term performance.</t>
  </si>
  <si>
    <t>[Song, Ying; Xu, Lei] Northwest A&amp;F Univ, Coll Water Resources &amp; Architectural Engn, Yangling 712100, Shaanxi, Peoples R China; [Li, Jun; Zhang, Yu; Liu, Ding; Li, Zhiwu; Hou, Gaoyang] Xidian Univ, Sch Mechanoelect Engn, Xian 671001, Shaanxi, Peoples R China; [Taherian, Hessam] Penn State Univ, Sch Sci Engn &amp; Technol, Harrisburg, PA 17057 USA</t>
  </si>
  <si>
    <t>Hou, GY (corresponding author), Xidian Univ, Sch Mechanoelect Engn, Xian 671001, Shaanxi, Peoples R China.</t>
  </si>
  <si>
    <t>ysong0321@nwafu.edu.cn; thanksy1@nwafu.edu.cn; dreamlee@stu.xidian.edu.cn; taherian@psu.edu; zhangyu02@xidian.edu.cn; dliu@xidian.edu.cn; zhwli@xidian.edu.cn; hougaoyang@xidian.edu.cn</t>
  </si>
  <si>
    <t>APR 10</t>
  </si>
  <si>
    <t>10.1016/j.ijhydene.2024.03.105</t>
  </si>
  <si>
    <t>WOS:001236934300001</t>
  </si>
  <si>
    <t>Walgama, S; Hewage, K; Hussain, SA; Sadiq, R</t>
  </si>
  <si>
    <t>Walgama, Sandali; Hewage, Kasun; Hussain, Syed Asad; Sadiq, Rehan</t>
  </si>
  <si>
    <t>Unconventional Critical Mineral Resources for Growing Electric Vehicle Industry: Sustainability SWOT Analysis</t>
  </si>
  <si>
    <t>MINING METALLURGY &amp; EXPLORATION</t>
  </si>
  <si>
    <t>The transport sector is one of the significant fossil energy consumers and contributors to greenhouse gas emissions. In the decarbonization of the transportation sector, moving to electric vehicles will play a prominent role. Therefore, the demand growth for electric vehicles is expected to increase rapidly, escalating the demand for critical minerals required for electric vehicle battery and motor production. However, due to several limitations in the existing mineral production, there can be imbalances between supply and demand in the future, which could challenge supply security and cleaner energy transitions. To address this, many potential unconventional resources have been suggested in the literature. This paper examines these resources through a strengths, weaknesses, opportunities, and threats (SWOT) analysis covering techno-economic, socio-political, and environmental dimensions. The results indicate that resources such as waste materials, industrial by-products, and end-of-life products (batteries and permanent magnets) offer strong opportunities for circular economy practices and reduced environmental impacts. However, challenges remain, including scalability issues, high energy requirements in some recovery methods, regulatory uncertainty, and potential ecosystem disruptions. International cooperation, technology development, and policy incentives emerge as critical opportunities to strengthen future supply security. A decision-making roadmap is proposed to select optimal and sustainable combinations of alternative mineral resources that meet expected demand, utilizing these findings. This analysis supports the long-term sustainability and security of the critical mineral supply chain for the rapidly growing electric vehicle industry while contributing to the development of more sustainable and low-carbon transportation systems.</t>
  </si>
  <si>
    <t>[Walgama, Sandali; Hewage, Kasun; Hussain, Syed Asad; Sadiq, Rehan] Univ British Columbia, Okanagan Campus Sch Engn, 1137 Alumni Ave, Kelowna, BC V1V 1V7, Canada</t>
  </si>
  <si>
    <t>Walgama, S (corresponding author), Univ British Columbia, Okanagan Campus Sch Engn, 1137 Alumni Ave, Kelowna, BC V1V 1V7, Canada.</t>
  </si>
  <si>
    <t>sandali.walgama@ubc.ca</t>
  </si>
  <si>
    <t>10.1007/s42461-026-01492-5</t>
  </si>
  <si>
    <t>WOS:001702001600001</t>
  </si>
  <si>
    <t>Braunstein, J; Chuchko, M</t>
  </si>
  <si>
    <t>Braunstein, Juergen; Chuchko, Marina</t>
  </si>
  <si>
    <t>Resource curse in the age of critical minerals: Geopolitical forces and market maturity</t>
  </si>
  <si>
    <t>ENERGY RESEARCH &amp; SOCIAL SCIENCE</t>
  </si>
  <si>
    <t>The global demand for critical minerals-such as lithium, cobalt, and rare earth elements-essential to renewable energy and technology, raises concerns about a modern resurgence of Dutch Disease in resource-rich countries. Traditional models focus on internal factors-such as fiscal capacity and institutional quality-to explain how countries manage the economic effects of resource extraction but overlook external conditions like geopolitical competition and the maturity of the specific commodity markets in which these resources are traded. This article introduces a comprehensive framework that integrates these external dimensions, offering a more nuanced perspective on resource curse in a decarbonization context. By addressing supply-side risks of windfall revenues, that are particularly relevant for commodity exporters of the South, we are closing a critical knowledge gap in the energy geopolitics debate, which predominantly focuses on demand-side risks associated with concerns of OECD and BRIC economies, such as energy security and supply chain disruption. The argument is substantiated through four case studies-Indonesia (nickel), Chile (copper), the Democratic Republic of Congo (cobalt), and Argentina (lithium)-which exemplify distinct combinations of commodity market maturity and geopolitical engagement and demonstrate the varied policy trade-offs that result.</t>
  </si>
  <si>
    <t>[Braunstein, Juergen; Chuchko, Marina] WU Vienna Univ Econ &amp; Business, Vienna, Austria; [Braunstein, Juergen] Harvard Univ, Harvard, MA USA; [Braunstein, Juergen] Austrian Acad Sci, Vienna, Austria; [Braunstein, Juergen] Vienna Univ Econ &amp; Business WU, Inst Spacial &amp; Social Ecol Transformat, Geofinance Unit, Welthandelspl 1,Bldg D4, A-1020 Vienna, Austria</t>
  </si>
  <si>
    <t>Braunstein, J (corresponding author), Vienna Univ Econ &amp; Business WU, Inst Spacial &amp; Social Ecol Transformat, Geofinance Unit, Welthandelspl 1,Bldg D4, A-1020 Vienna, Austria.</t>
  </si>
  <si>
    <t>Juergen.Braunstein@wu.ac.at</t>
  </si>
  <si>
    <t>10.1016/j.erss.2025.104247</t>
  </si>
  <si>
    <t>AUG 2025</t>
  </si>
  <si>
    <t>WOS:001548944600001</t>
  </si>
  <si>
    <t>Zanoletti, A; Bresolin, BM; Bontempi, E</t>
  </si>
  <si>
    <t>Zanoletti, Alessandra; Bresolin, Bianca Maria; Bontempi, Elza</t>
  </si>
  <si>
    <t>Building a Circular Economy for Lithium: Addressing Global Challenges</t>
  </si>
  <si>
    <t>GLOBAL CHALLENGES</t>
  </si>
  <si>
    <t>As countries worldwide race toward a green transition, the demand for electric vehicles is surging, and with it comes a growing need for batteries. However, the push for increased domestic mining to secure these materials raises significant concerns about environmental sustainability. Even with stringent regulations, the environmental impact of mining can be profound, posing risks such as biodiversity loss, water pollution, and broader ecological damage. Furthermore, geopolitical tensions could arise as countries whose economic interests are threatened by these initiatives may react adversely. Local communities might also resist mining projects due to concerns over environmental degradation, health risks, and disruptions to their livelihoods. Given the critical importance of metals in the ecological transition, this challenge must be approached with the same urgency and global coordination as a pandemic response. Just as the world mobilized unprecedented resources to tackle COVID-19, a similarly robust approach is necessary to ensure the availability of critical metals for a sustainable future. This paper suggests potential pathways for academic, technological, and societal advancements within the framework of a circular economy for lithium, aiming to secure a sustainable supply of this essential resource.</t>
  </si>
  <si>
    <t>[Zanoletti, Alessandra; Bresolin, Bianca Maria; Bontempi, Elza] Univ Brescia, INSTM, Via Branze 38, I-25123 Brescia, Italy; [Zanoletti, Alessandra; Bresolin, Bianca Maria; Bontempi, Elza] Univ Brescia, Chem Technol Lab, Via Branze 38, I-25123 Brescia, Italy</t>
  </si>
  <si>
    <t>Bontempi, E (corresponding author), Univ Brescia, INSTM, Via Branze 38, I-25123 Brescia, Italy.;Bontempi, E (corresponding author), Univ Brescia, Chem Technol Lab, Via Branze 38, I-25123 Brescia, Italy.</t>
  </si>
  <si>
    <t>elza.bontempi@unibs.it</t>
  </si>
  <si>
    <t>10.1002/gch2.202400250</t>
  </si>
  <si>
    <t>NOV 2024</t>
  </si>
  <si>
    <t>WOS:001354155600001</t>
  </si>
  <si>
    <t>Sun, HB; Zhang, XT; Luo, CC</t>
  </si>
  <si>
    <t>Sun, Hongbo; Zhang, Xinting; Luo, Cuicui</t>
  </si>
  <si>
    <t>A Review of Carbon Pricing Mechanisms and Risk Management for Raw Materials in Low-Carbon Energy Systems</t>
  </si>
  <si>
    <t>ENERGIES</t>
  </si>
  <si>
    <t>The global shift to low-carbon energy systems has significantly increased demand for critical raw materials like lithium, cobalt, nickel, rare earth elements, and copper. These materials are essential for renewable technologies and energy storage. However, their extraction and processing produce significant carbon emissions and face challenges from supply chain vulnerabilities and price volatility. This review examines the complex relationship between carbon pricing mechanisms-such as carbon markets and taxes-and raw material markets. It explores the strategic importance of these materials, recent policy developments, and the transmission of carbon pricing impacts through supply chains. The review also analyzes the systemic risks created by carbon pricing, including regulatory uncertainty, market volatility, and geopolitical tensions. We then discuss financial tools and corporate strategies for managing these risks, such as carbon-linked derivatives and supply chain diversification. Finally, this review identifies key challenges and suggests future research to improve the resilience and sustainability of raw material supply chains. Here, resilience is defined as the capacity to adapt to carbon pricing volatility, geopolitical disruptions, and regulatory shocks, while maintaining operations. The paper concludes that coordinated policies and flexible risk management are urgently needed to support a reliable and sustainable energy transition.</t>
  </si>
  <si>
    <t>[Sun, Hongbo] Univ Chinese Acad Sci, Sch Math Sci, Beijing 100049, Peoples R China; [Zhang, Xinting; Luo, Cuicui] Univ Chinese Acad Sci, Beijing 100049, Peoples R China</t>
  </si>
  <si>
    <t>Luo, CC (corresponding author), Univ Chinese Acad Sci, Beijing 100049, Peoples R China.</t>
  </si>
  <si>
    <t>sunhongbo22@mails.ucas.ac.cn; xintingzhang22@163.com; luocuicui@ucas.ac.cn</t>
  </si>
  <si>
    <t>JUN 27</t>
  </si>
  <si>
    <t>10.3390/en18133401</t>
  </si>
  <si>
    <t>WOS:001527490000001</t>
  </si>
  <si>
    <t>Baldassarre, B</t>
  </si>
  <si>
    <t>Baldassarre, Brian</t>
  </si>
  <si>
    <t>Circular economy for resource security in the European Union (EU): Case study, research framework, and future directions</t>
  </si>
  <si>
    <t>ECOLOGICAL ECONOMICS</t>
  </si>
  <si>
    <t>The European Union (EU) relies on imported raw materials to manufacture renewable energy, digital, mobility, aerospace, and defence technologies. A circular economy can mitigate this critical dependency, for example by recycling materials or remanufacturing products locally. These resource efficiency strategies, however, require new supply chain configurations supported by research and innovation. While this is taking place in few selected supply chains, notably lithium-ion battery technology, little is known about circularity for most critical raw materials and their applications. Information is scattered across industry players and disciplinary competences, or not publicly available due to confidentiality concerns. This article presents a case study on titanium metal circularity in the aviation and defence sectors. The results inform three industrial policy recommendations to mitigate the risk of supply disruption in the EU, aggravated by Russia's invasion of Ukraine. Based on the case study, a methodological framework is proposed to guide future research on circularity for resource security. This subject requires urgent attention to achieve EU strategic autonomy objectives, against the background of climate change, resource depletion and waste management challenges in a complex geopolitical landscape.</t>
  </si>
  <si>
    <t>[Baldassarre, Brian] European Commiss, Joint Res Ctr, C Inca Garcilaso 3, Seville 41092, Spain</t>
  </si>
  <si>
    <t>Baldassarre, B (corresponding author), European Commiss, Joint Res Ctr, C Inca Garcilaso 3, Seville 41092, Spain.</t>
  </si>
  <si>
    <t>brian.baldassarre@ec.europa.eu</t>
  </si>
  <si>
    <t>10.1016/j.ecolecon.2024.108345</t>
  </si>
  <si>
    <t>SEP 2024</t>
  </si>
  <si>
    <t>WOS:001314438000001</t>
  </si>
  <si>
    <t>Rui, X; Geng, Y; Sun, X; Hao, H; Xiao, SJ</t>
  </si>
  <si>
    <t>Rui, Xue; Geng, Yong; Sun, Xin; Hao, Han; Xiao, Shijiang</t>
  </si>
  <si>
    <t>Dynamic material flow analysis of natural graphite in China for 2001-2018</t>
  </si>
  <si>
    <t>Graphite is considered a critical mineral because of its importance to clean energy transition and global supply concentration. This critical role is evident for electric vehicles that depends on lithium-ion batteries using graphite as anode material. China is the world's largest producer and consumer of natural graphite due to its booming economy and rapid penetration of clean energy driven by carbon neutrality ambition. Given this background, this study conducts a dynamic material flow analysis of natural graphite to reveal the evolution trend of graphite flows in China from 2001 to 2018. Main results include: (1) China's graphite resource experienced extensive utilization to meet demands from domestic consumption (55-83%) and exportation (17-45%), (2) Of the 1643 Gg/yr graphite entering China's anthroposphere, 15% accumulates in in-use stock and 34% enters the waste stage, and secondary graphite only accounts for 0.7-5.7% of the total supply; (3) Releases of graphite (1271 Gg/yr) are mainly divided into tailings, dissipative losses in use, and post-consumer losses; (4) The export-production ratio has increased from 16% in 2001 to 40% in 2018; (5) Graphite demand from electric vehicles is estimated to be 18 times the current level by 2030 (2340 Gg). These results imply that China should not only prepare national policies on managing the overall graphite production activities in response to concerns about domestic resource loss and environmental disruption induced from extractive and processing activities, but also prepare policies encouraging appropriate graphite recycling from safety and economic feasibility perspectives.</t>
  </si>
  <si>
    <t>[Rui, Xue] Shanghai Jiao Tong Univ, Sch Environm Sci &amp; Engn, Shanghai 200240, Peoples R China; [Rui, Xue; Geng, Yong] Shanghai Jiao Tong Univ, Sch Int &amp; Publ Affairs, China Inst Urban Governance, Shanghai 200030, Peoples R China; [Geng, Yong; Xiao, Shijiang] Shanghai Jiao Tong Univ, Sch Int &amp; Publ Affairs, Shanghai 200030, Peoples R China; [Sun, Xin; Hao, Han] Tsinghua Univ, State Key Lab Automot Safety &amp; Energy, Beijing 100084, Peoples R China; [Sun, Xin; Hao, Han] Tsinghua Univ, Tsinghua Rio Tinto Joint Res Ctr Resources Energy, Beijing 100084, Peoples R China; [Hao, Han] Tsinghua Univ, Tsinghua Automot Strategy Res Inst, Beijing 100084, Peoples R China</t>
  </si>
  <si>
    <t>Geng, Y (corresponding author), Shanghai Jiao Tong Univ, Sch Int &amp; Publ Affairs, Shanghai 200030, Peoples R China.</t>
  </si>
  <si>
    <t>ruixue0108@sjtu.edu.cn; ygeng@sjtu.edu.cn; sunxin18@mails.tsinghua.edu.cn; hao@tsinghua.edu.cn; shijiang.xiao@sjtu.edu.cn</t>
  </si>
  <si>
    <t>10.1016/j.resconrec.2021.105732</t>
  </si>
  <si>
    <t>JUN 2021</t>
  </si>
  <si>
    <t>WOS:000670702800025</t>
  </si>
  <si>
    <t>Miswanto, A; Rahmah, N; Masruroh, NA; Prameswara, G; Petrus, HTBM</t>
  </si>
  <si>
    <t>Miswanto, Agus; Rahmah, Nafisa; Masruroh, Nur Aini; Prameswara, Gyan; Petrus, Himawan Tri Bayu Murti</t>
  </si>
  <si>
    <t>Strategic assessment of lithium iron phosphate in the global energy transition: Supply chain dynamics and future competitiveness</t>
  </si>
  <si>
    <t>Lithium Iron Phosphate (LFP) has become a significant cathode material supporting the sustainable global energy transition. Unlike nickel-based batteries, LFP offers several advantages in terms of thermal stability, cost efficiency, and supply chain resilience, which are crucial aspects for its widespread adoption in electric vehicles (EVs) and energy storage systems (ESS). This study aims to evaluate the strategic position of LFP through an integrative approach that includes bibliometric analysis, demand projection, and a SWOT evaluation. Using Scopus metadata from 2020 to 2024, this study identifies key trends in four dimensions: technical innovation, sectoral applications, economic dynamics, and sustainability. The bibliometric analysis reveals a strategic shift across four dimensions: technical research is prioritizing cathode stability and synthesis optimization; sectoral applications are increasingly focused on grid-scale ESS and EV integration; economic studies emphasize cost-competitiveness against NMC chemistries; and sustainability research is rapidly expanding into recycling and circular economy frameworks to enhance supply chain resilience. Global demand projections are derived through a log-linear regression model for the EV sector and a compound annual growth rate (CAGR) approach for the ESS sector. The results indicate that annual LFP demand will surge from approximately 1,044 GWh in 2025 to over 4.9 million GWh (4,900 TWh) by 2045, with the EV sector accounting for roughly 2.45 million GWh and the ESS sector contributing the remaining share. The SWOT analysis highlights the strengths of LFP in terms of phosphate resource availability and compliance with environmental, social, and governance (ESG) principles while also examining external challenges such as technological disruption and supply chain concentration. The results of this study underscore the importance of diversifying production strategies, strengthening investment in phosphate-bearing countries, and integrating LFP into energy transition policies to achieve net-zero emission targets. This study contributes to strengthening strategic mineral governance, making LFP a safe, affordable, and sustainable global energy solution.</t>
  </si>
  <si>
    <t>[Miswanto, Agus] Natl Res &amp; Innovat Agcy, Res Ctr Geol Resources, Bandung, Indonesia; [Rahmah, Nafisa; Petrus, Himawan Tri Bayu Murti] Univ Gadjah Mada, Fac Engn, Dept Chem Engn, Sustainable Mineral Met Proc Res Grp, Yogyakarta, Indonesia; [Masruroh, Nur Aini] Univ Gadjah Mada, Fac Engn, Dept Mech &amp; Ind Engn, Yogyakarta, Indonesia; [Prameswara, Gyan] Politekn ATI Makassar, Dept Mineral Chem Engn, Makassar, Indonesia; [Petrus, Himawan Tri Bayu Murti] Univ Gadjah Mada, Fac Engn, Unconvent Georesources Res Grp, Yogyakarta, Indonesia</t>
  </si>
  <si>
    <t>Petrus, HTBM (corresponding author), Univ Gadjah Mada, Fac Engn, Dept Chem Engn, Sustainable Mineral Met Proc Res Grp, Yogyakarta, Indonesia.;Petrus, HTBM (corresponding author), Univ Gadjah Mada, Fac Engn, Unconvent Georesources Res Grp, Yogyakarta, Indonesia.</t>
  </si>
  <si>
    <t>agus157@brin.go.id; nafisarahmah2@gmail.com; aini@ugm.ac.id; gyan@atim.ac.id; bayupetrus@ugm.ac.id</t>
  </si>
  <si>
    <t>2026 APR 2</t>
  </si>
  <si>
    <t>10.1007/s13563-026-00624-z</t>
  </si>
  <si>
    <t>APR 2026</t>
  </si>
  <si>
    <t>WOS:001732362200001</t>
  </si>
  <si>
    <t>Ziemann, S; Grunwald, A; Schebek, L; Müller, DB; Weil, M</t>
  </si>
  <si>
    <t>Ziemann, S.; Grunwald, A.; Schebek, L.; Mueller, D. B.; Weil, M.</t>
  </si>
  <si>
    <t>The future of mobility and its critical raw materials</t>
  </si>
  <si>
    <t>REVUE DE METALLURGIE-CAHIERS D INFORMATIONS TECHNIQUES</t>
  </si>
  <si>
    <t>Concerns for climate change and declining oil reserves lead to a shift of transportation systems in many industrial countries. However, alternative drive concepts contain to some extent critical raw materials. Since the availability of certain raw materials could be decisive for the success of emerging technologies, concerns are growing about the potential limitation of resources. This brought about a growing attention to the subjects of criticality and resource security of raw materials by science, policy and industry. Four of the resulting surveys are described in terms of their framing of criticality, their indicators for evaluating criticality, and their rankings of potentially critical raw materials. Critical raw materials are used in alternative drive concepts because of their specific properties. The focus of our work lies on batteries for electric vehicles with special attention to lithium-ion batteries being one of the most promising candidates for energy storage there. Lithium-ion batteries use as major cathode materials lithium, manganese and cobalt, all of which are potential critical. A material flow model of the global manganese cycle is developed. It could be identified that there is a lack of relevant data for processes and flows. The lack of data impedes a comprehensive view and therefore no final conclusions could be drawn, which advice the need for further research. Using manganese as an example, it could be illustrated how material flow analysis can contribute to compiling relevant preparatory work that can subsequently serve as a basis for a prospective support of a criticality evaluation and to inform stakeholders and policy makers about the effectiveness of various interventions to reduce the risk or the effects of supply chain disruptions.</t>
  </si>
  <si>
    <t>[Ziemann, S.; Grunwald, A.; Weil, M.] Karlsruhe Inst Technol, Inst Technol Assessment &amp; Syst Anal ITAS, D-76021 Karlsruhe, Germany; [Schebek, L.] Tech Univ Darmstadt, Darmstadt, Germany; [Mueller, D. B.] Norwegian Univ Sci &amp; Technol NTNU, Dept Hydraul &amp; Environm Engn, NO-7491 Trondheim, Norway; [Weil, M.] Helmholtz Inst Ulm Electrochem Energy Storage, D-89081 Ulm, Germany</t>
  </si>
  <si>
    <t>Ziemann, S (corresponding author), Karlsruhe Inst Technol, Inst Technol Assessment &amp; Syst Anal ITAS, POB 3640, D-76021 Karlsruhe, Germany.</t>
  </si>
  <si>
    <t>saskia.ziemann@kit.edu</t>
  </si>
  <si>
    <t>10.1051/metal/2013052</t>
  </si>
  <si>
    <t>WOS:000318668500006</t>
  </si>
  <si>
    <t>Tripathy, A; Bhuyan, A; Padhy, RK; Mangla, SK; Roopak, R</t>
  </si>
  <si>
    <t>Tripathy, Asit; Bhuyan, Atanu; Padhy, R. K.; Mangla, Sachin Kumar; Roopak, Roopendra</t>
  </si>
  <si>
    <t>Drivers of lithium-ion batteries recycling industry toward circular economy in industry 4.0</t>
  </si>
  <si>
    <t>An exponential demand increase for lithium-ion batteries (LIBs) has contributed to a looming waste crisis. Cir-cular economy has been increasingly seen to counter this crisis, further scaled-up by operationalizing Industry 4.0 disruptions around the triple bottom line. As a core pillar of circular economy, this study addresses LIB recycling and explores its key drivers. The drivers are identified and evaluated using Delphi study and multi-criteria decision-making methods. The proposed integrated methodological framework is further tested with data involving multiple stakeholders. The findings underscore the most profound causal drivers: institutional incentives supporting LIB recycling, availability of reliable technology, and strengthening coordination among actors in a supply chain using Industry 4.0. Interestingly, the highest-ranking causal drivers of LIB recycling were retrieved not from the existing literature but from the expert pool. The findings also reveal some counterintuitive results, such as practitioners prioritizing environmental factors over economic ones instead of the widespread convention of their preferences toward economic goals. The study thereby offered some helpful policy levers, which when empirically strategized with Industry 4.0 should enable stakeholders make more informed decisions in shaping an emerging industry such as LIB recycling.</t>
  </si>
  <si>
    <t>[Tripathy, Asit; Bhuyan, Atanu; Mangla, Sachin Kumar] OP Jindal Global Univ, Jindal Global Business Sch, Sonipat 131001, Haryana, India; [Padhy, R. K.] Indian Inst Management, Sambalpur 768019, Orissa, India; [Roopak, Roopendra] Indian Inst Management, Kashipur 244713, Uttarakhand, India</t>
  </si>
  <si>
    <t>Mangla, SK (corresponding author), OP Jindal Global Univ, Jindal Global Business Sch, Sonipat 131001, Haryana, India.</t>
  </si>
  <si>
    <t>asittripathy111@gmail.com; atanu.bhuyan@gmail.com; rkpadhy@yahoo.com; sachinmangl@gmail.com; roopendra.fpm1716@iimkashipur.ac.in</t>
  </si>
  <si>
    <t>10.1016/j.cie.2023.109157</t>
  </si>
  <si>
    <t>WOS:000967730000001</t>
  </si>
  <si>
    <t>Golroudbary, SR; Kraslawski, A; Wilson, BP; Lundstroem, M</t>
  </si>
  <si>
    <t>Golroudbary, Saeed Rahimpour; Kraslawski, Andrzej; Wilson, Benjamin P.; Lundstroem, Mari</t>
  </si>
  <si>
    <t>Assessment of environmental sustainability of nickel required for mobility transition</t>
  </si>
  <si>
    <t>FRONTIERS IN CHEMICAL ENGINEERING</t>
  </si>
  <si>
    <t>Nickel (Ni) in batteries (e.g., nickel-metal hydride battery (NiMH), lithium nickel cobalt aluminum oxide (NCA) and lithium nickel manganese cobalt oxide (NMC)) aim to ensure higher energy density and greater storage capacity. Two typical layered nickel-rich ternary cathode materials, NCA and NMC, are commercialized as advanced lithium-ion batteries (LiBs) for electric vehicles (EVs). The technology of those batteries has been improving by steadily increasing the nickel content in each cathode generation. In this study, we consider two types of batteries having a composite cathode made of Li [Ni0.80Co0.1Al0.1]O-2, and Li [Ni0.33Mn0.33Co0.33]O-2, which are the most common cathode materials for LiBs in EVs since 2010 and their functional recycling is performed. The increasing use of nickel in battery technologies has resulted in the continuous growth of demand for nickel over recent years. Nickel was added to the list of critical materials by the United States Geological Survey (USGS) already in 2021. Unfortunately now, the sustainable supply of nickel is even at higher risk due to the sanctions-related disruption of supplies from Russia. Therefore, enhancing the circularity of nickel starts to be vital for many economies. Demand for recycled nickel is growing, however, a systematic analysis of the sustainability of its recycling is still missing. Therefore, we provide a comprehensive assessment of the sustainability of the global primary and secondary production of nickel. Using system dynamics modelling integrated with geometallurgy principles and by analyzing the processing routes (pyrometallurgical and hydrometallurgical processes), we quantify the key environmental concerns across the life cycle of primary and secondary nickel required for sustainable mobility transition. Energy consumption, water use, and related emissions are assessed for all stages of the nickel supply chain, from mining to recycling. Our analysis shows the possibility of reducing the emissions by around 4.7 mt for GHG, 6.9 kt for PM2.5, 34.3 t for BC, 2.8 kt for CH4, 7.5 kt for CO, 3.3 mt for CO2, 169.9 t for N2O, 3.8 kt for NOx, 11.8 kt for PM10, 104.8 t for POC, 1.6 mt for SOx, and 232.5 t for VOC by engaging in the secondary production of nickel through the recycling of batteries. However, identical growth rate of energy consumption and water use compared to nickel mass flows means no technical progress has been achieved in different stages of the nickel supply chain towards sustainability over the period 2010-2030. Therefore, an improvement in technology is needed to save energy and water in nickel production processes. The results and findings of this study contribute to a better understanding of the necessity for improving closed-loop supply chain policies for nickel.</t>
  </si>
  <si>
    <t>[Golroudbary, Saeed Rahimpour; Wilson, Benjamin P.; Lundstroem, Mari] Aalto Univ, Dept Chem &amp; Met Engn, Hydromet &amp; Corros Circular Raw Mat Hub, Espoo, Finland; [Kraslawski, Andrzej] LUT Univ, Sch Engn Sci, Ind Engn &amp; Management IEM, Lappeenranta, Finland</t>
  </si>
  <si>
    <t>Golroudbary, SR (corresponding author), Aalto Univ, Dept Chem &amp; Met Engn, Hydromet &amp; Corros Circular Raw Mat Hub, Espoo, Finland.;Kraslawski, A (corresponding author), LUT Univ, Sch Engn Sci, Ind Engn &amp; Management IEM, Lappeenranta, Finland.</t>
  </si>
  <si>
    <t>Saeed.Rahimpour@aalto.fi; Andrzej.kraslawski@lut.fi</t>
  </si>
  <si>
    <t>JAN 5</t>
  </si>
  <si>
    <t>10.3389/fceng.2022.978842</t>
  </si>
  <si>
    <t>WOS:000994810000001</t>
  </si>
  <si>
    <t>Bajolle, H; Lagadic, M; Louvet, N</t>
  </si>
  <si>
    <t>Bajolle, Hadrien; Lagadic, Marion; Louvet, Nicolas</t>
  </si>
  <si>
    <t>The future of lithium-ion batteries: Exploring expert conceptions, market trends, and price scenarios</t>
  </si>
  <si>
    <t>Electric mobility is presented as one of the major solutions to decarbonize the transport sector. The prospect of electric vehicles (EV) reaching cost parity with internal combustion engine vehicles (ICEV) is thus widely dis-cussed. Reaching cost-parity would imply a further decrease in lithium-ion battery (LIB) prices. However, the complexity of the LIB landscape makes it difficult to carry out reliable price forecasts. Indeed, the price pro-jections found in the literature vary substantially across authors, methods used, and battery technologies considered. Adopting a qualitative approach, this article uses semi-directive interviews of LIB experts to shed light on the logics underpinning discourses regarding battery price decreases. Qualitative data is analyzed and summarized in three overarching narratives about the future trajectory of LIB prices. The first one envisions a rapid price stabilization due to insufficient raw material supply. The second one suggests also that price will soon stop to decrease but does not envision physical shortages. Our third narrative contemplates a disruption of the market by new technologies such as solid state, which would make further price decrease possible, even on the long run. These results help to clarify the debate over the price of evolution of LIB and are also a methodological contribution in the field of technology forecast.</t>
  </si>
  <si>
    <t>[Bajolle, Hadrien; Lagadic, Marion; Louvet, Nicolas] 6t Bur Rech, Paris, France</t>
  </si>
  <si>
    <t>Bajolle, H (corresponding author), 6t Bur Rech, Paris, France.</t>
  </si>
  <si>
    <t>hadrien.bajolle@6-t.co</t>
  </si>
  <si>
    <t>10.1016/j.erss.2022.102850</t>
  </si>
  <si>
    <t>N</t>
  </si>
  <si>
    <t>WOS:000879862100005</t>
  </si>
  <si>
    <t>Fernández, I; Rosa, EV; Palermo, I</t>
  </si>
  <si>
    <t>Fernandez, Ivan; Rosa, Elena V.; Palermo, Iole</t>
  </si>
  <si>
    <t>Design of a brazing connector for DEMO in-vessel components</t>
  </si>
  <si>
    <t>FUSION ENGINEERING AND DESIGN</t>
  </si>
  <si>
    <t>The cost of electricity generated by fusion power will be strongly conditioned by the availability of future reactors. One key issue is the developing of feasible quick pipe connectors for the connection/disconnection of critical in-vessel components during maintenance operations. Brazing is a widely used joining technique which produces leak-proof high strength joints, with excellent stress distribution, little distortion and minimum oxidation. This work presents a design of a self-brazing/debrazing connector to be used with helium, lead lithium and water pipes in DEMO. The remote handling compatible design includes an induction heating system, a brazing atmosphere supply, an inspection system (leak testing), a bolted/clamped union to provide stiffness against disruptions and thermal loads, and a positioning and alignment system. (C) 2014 Elsevier B.V. All rights reserved.</t>
  </si>
  <si>
    <t>[Fernandez, Ivan; Rosa, Elena V.; Palermo, Iole] EURATOM CIEMAT Assoc, Madrid 28040, Spain</t>
  </si>
  <si>
    <t>Fernández, I (corresponding author), EURATOM CIEMAT Assoc, Av Complutense 40, Madrid 28040, Spain.</t>
  </si>
  <si>
    <t>ivan.fernandez@ciemat.es</t>
  </si>
  <si>
    <t>9-10</t>
  </si>
  <si>
    <t>10.1016/j.fusengdes.2014.02.002</t>
  </si>
  <si>
    <t>WOS:000341335300096</t>
  </si>
  <si>
    <t>Lewicka, E; Guzik, K; Galos, K</t>
  </si>
  <si>
    <t>Lewicka, Ewa; Guzik, Katarzyna; Galos, Krzysztof</t>
  </si>
  <si>
    <t>On the Possibilities of Critical Raw Materials Production from the EU's Primary Sources</t>
  </si>
  <si>
    <t>RESOURCES-BASEL</t>
  </si>
  <si>
    <t>Sufficient supplies of critical raw materials (CRMs) for rapidly developing technologies, e.g., Li-ion batteries, wind turbines, photovoltaics, digitization, etc., have become one of the main economic challenges for the EU. Due to growing import dependency and associated risk of supply disruptions of these raw materials from third countries, there is a need to encourage their domestic production. This is an important starting point for EU value chains crucial for the sustainable economic growth of the whole Union. This contribution has evaluated the possibilities of CRMs supply from the EU's primary sources. A three-step approach, including an assessment of CRMs' importance for the EU's economic growth, their significance in at least two of the three strategic industrial sectors (i.e., renewable energy, e-mobility, defense and aerospace), and their potential availability from EU mineral deposits, has been applied. Results of the analysis have shown that, of 29 critical mineral raw materials (according to the 2020 EC list), the potential to develop manufacturing from the Union mineral deposits exists for 11 CRMs, i.e., cobalt, graphite (natural), HREE, LREE, lithium, magnesium, niobium, PGMs, silicon metal, titanium, and tungsten, while some other CRMs, namely gallium, germanium, indium, and vanadium can be recovered as by-products. Measures to mitigate EU import dependency have been also proposed.</t>
  </si>
  <si>
    <t>[Lewicka, Ewa; Guzik, Katarzyna; Galos, Krzysztof] Polish Acad Sci, Mineral &amp; Energy Econ Res Inst, J Wybickiego 7A, PL-31261 Krakow, Poland</t>
  </si>
  <si>
    <t>Lewicka, E (corresponding author), Polish Acad Sci, Mineral &amp; Energy Econ Res Inst, J Wybickiego 7A, PL-31261 Krakow, Poland.</t>
  </si>
  <si>
    <t>lewicka@min-pan.krakow.pl; guzik@min-pan.krakow.pl; krzysztof.galos@min-pan.krakow.pl</t>
  </si>
  <si>
    <t>10.3390/resources10050050</t>
  </si>
  <si>
    <t>WOS:000654473200001</t>
  </si>
  <si>
    <t>Vishwakarma, A; Hait, S</t>
  </si>
  <si>
    <t>Vishwakarma, Anusha; Hait, Subrata</t>
  </si>
  <si>
    <t>Biocatalytic oxidative leaching of critical metals from cathode active materials of spent lithium-ion batteries: Selective recovery, toxicity evaluation, and life cycle assessment</t>
  </si>
  <si>
    <t>JOURNAL OF ENVIRONMENTAL CHEMICAL ENGINEERING</t>
  </si>
  <si>
    <t>Bioleaching emerged as a promising green technology for extracting critical metals from spent lithium-ion batteries (LIBs), yet its sluggish microbial kinetics limit its efficacy. Therefore, this study harnesses the biocatalytic potential of glucose oxidase (GO(x)) enzyme as a redox-active catalyst to drive an oxidative bioleaching process (in-situ H2O2 + Fe2 + Fenton oxidation) for the rapid and enhanced extraction of Li, Co, Ni, and Mn from cathode active material (CAM). Systematic parametric evaluation of Fe2+ concentration (0-40 mM) and CAM pulp density (1-10 g/L) identified optimal conditions at 20 mM Fe2+ and 1 g/L pulp density, achieving the highest bioleaching efficiencies of about 100% Li, 96% Mn, 94.3% Co, and 90.5% Ni in 120 h. Post-leaching morphological and compositional characterizations of the CAM demonstrated marked lattice disruption, indicating efficient metal dissolution driven by oxidant-induced degradation of the transition-metal oxide matrix. Sequential downstream processing of the bioleachate, including chemical precipitation and solvent extraction, yielded selective recovery of &gt; 95% of the targeted metals. USEtox (R) life-cycle impact modeling indicated reductions of similar to 86.6% in human toxicity and similar to 90% in ecotoxicity for CAM after bioleaching. Moreover, a cradle-to-intermediate life cycle assessment (LCA) (from bioleaching to filtration) showed similar to 95% reduction in global warming potential (152 -&gt; 8.06 kg CO2 eq) with bioenergy electricity vs fossil-based supply, plus &gt; 90% reductions in fossil-resource scarcity and ionizing radiation. These results identify electricity supply as a key lever and provide a transparent benchmark for comparison with published LIB recycling LCAs; full cradle-to-gate needs inclusion of downstream metal recovery.</t>
  </si>
  <si>
    <t>[Vishwakarma, Anusha; Hait, Subrata] Indian Inst Technol Patna, Dept Civil &amp; Environm Engn, Patna 801106, Bihar, India</t>
  </si>
  <si>
    <t>Hait, S (corresponding author), Indian Inst Technol Patna, Dept Civil &amp; Environm Engn, Patna 801106, Bihar, India.</t>
  </si>
  <si>
    <t>shait@iitp.ac.in</t>
  </si>
  <si>
    <t>10.1016/j.jece.2026.122078</t>
  </si>
  <si>
    <t>WOS:001715199200001</t>
  </si>
  <si>
    <t>Rohit, K; Verma, A; Dhairiyasamy, R; Gabiriel, D</t>
  </si>
  <si>
    <t>Rohit, Kartik; Verma, Ajay; Dhairiyasamy, Ratchagaraja; Gabiriel, Deepika</t>
  </si>
  <si>
    <t>A continuous supply chain management approach using SPJS-Fuzzy DEMATEL and LPWBN for automotive electric vehicles in India</t>
  </si>
  <si>
    <t>SUSTAINABLE FUTURES</t>
  </si>
  <si>
    <t>The rapid adoption of Electric Vehicles (EVs) is essential for reducing greenhouse gas emissions and promoting sustainable transportation. In India, the EV market faces significant challenges in supply chain management (SCM), particularly in integrating third-party recyclers to handle EV components and lithium-ion batteries (LIBs) efficiently. Existing studies lead to inefficiencies and potential environmental hazards. Addressing this critical gap, we propose a continuous SCM framework tailored for automotive EVs in India, incorporating EV component recyclers using Shannon's Probabilistic Jaccard Similarity-based Fuzzy Decision Making Trial and Evaluation Laboratory (SPJS-Fuzzy DEMATEL) and Lagrange Interpolation-based Probability Weighting Bayesian Network (LPWBN). The applicability of our method lies in its ability to enhance transparency, optimize resource utilization, and mitigate risks in the EV supply chain. Starting with the collection and transportation of raw materials to Indian manufacturing units, our framework employs JS-Fuzzy logic with sensor data to prevent manufacturing disruptions. The LPWBN enhances transparency between manufacturers and consumers, facilitating better demand forecasting and supply planning. Damaged or end-of-life products are routed to third-party recyclers, where JS-Fuzzy logic ensures the quality of recycled resources for remanufacturing. By clustering enablers and analyzing their correlations using SPJS-Fuzzy DEMATEL, we assess the impacts of economic, cultural, organizational, social, and environmental aspects on SCM. India, with its burgeoning EV market and unique socioeconomic conditions, serves as an ideal context for applying our framework. Experimental results demonstrate that our proposed system achieves a 99.74 % reliability score, outperforming existing methods and highlighting its potential to advance sustainable EV supply chains in India.</t>
  </si>
  <si>
    <t>[Rohit, Kartik; Verma, Ajay] Maulana Azad Natl Inst Technol, Dept Mech Engn, Bhopal, Madhya Pradesh, India; [Dhairiyasamy, Ratchagaraja] Saveetha Univ, Saveetha Inst Med &amp; Tech Sci, Saveetha Sch Engn, Dept Elect &amp; Commun Engn, Chennai, Tamil Nadu, India; [Gabiriel, Deepika] Aksum Univ, Coll Engn &amp; Technol, Axum, Ethiopia; [Dhairiyasamy, Ratchagaraja] Chitkara Univ, Inst Engn &amp; Technol, Ctr Res Impact &amp; Outcome, Rajpura 140401, Punjab, India; [Gabiriel, Deepika] Chitkara Univ, Chitkara Ctr Res &amp; Dev, Baddi 174103, Himachal Prades, India</t>
  </si>
  <si>
    <t>Gabiriel, D (corresponding author), Aksum Univ, Coll Engn &amp; Technol, Axum, Ethiopia.;Gabiriel, D (corresponding author), Chitkara Univ, Chitkara Ctr Res &amp; Dev, Baddi 174103, Himachal Prades, India.</t>
  </si>
  <si>
    <t>gabirieldee@gmail.com</t>
  </si>
  <si>
    <t>10.1016/j.sftr.2025.100518</t>
  </si>
  <si>
    <t>MAR 2025</t>
  </si>
  <si>
    <t>WOS:001450480400001</t>
  </si>
  <si>
    <t>Santillan-Saldivar, J; Gaugler, T; Helbig, C; Rathgeber, A; Sonnemann, G; Thorenz, A; Tuma, A</t>
  </si>
  <si>
    <t>Santillan-Saldivar, Jair; Gaugler, Tobias; Helbig, Christoph; Rathgeber, Andreas; Sonnemann, Guido; Thorenz, Andrea; Tuma, Axel</t>
  </si>
  <si>
    <t>Design of an endpoint indicator for mineral resource supply risks in life cycle sustainability assessment The case of Li-ion batteries</t>
  </si>
  <si>
    <t>JOURNAL OF INDUSTRIAL ECOLOGY</t>
  </si>
  <si>
    <t>Concerns have risen in recent years about the accessibility of raw materials considered critical for technological advancements. The GeoPolRisk indicator was designed as a midpoint indicator in life cycle sustainability assessment to measure geopolitical supply risk with the aim to incorporate raw material criticality as a complement to environmental life cycle assessment (LCA). A recent review of supply risk methods conducted within the Task Force on mineral resources of the Life Cycle Initiative hosted by UN Environment Programme highlighted the opportunity to extend the methodology to an endpoint level. We address this opportunity by presenting GeoPolEndpoint, an indicator that measures the socio-economic damage of the use of mineral resources linked to the area of protection Natural Resources in LCA. We build upon previous efforts by introducing price elasticity considerations and modeling potential effects of supply disruptions on commodity markets in the form of a welfare loss and a loss of consumer surplus. The socio-economic damage occurs as geopolitically driven increased costs for raw materials. We test our method on aluminum, cobalt, nickel, and copper, materials relevant for lithium-ion batteries. Results show that nickel and cobalt dominate the contribution to socio-economic damages because of their price and supply risk; we estimate the impact of the use of the four analyzed materials as a potential increased cost ranging from 0.30 to 1.86 USD/kWh depending on the technology and year. We build the steps to assess how the use of certain raw materials could have a substantial economic impact when developing technologies, possibly identifying the shifting of burden due to certain materials not usually deemed important from an environmental perspective. This article met the requirements for a gold-gold JIE data openness badge described at http://jie.click/badges.</t>
  </si>
  <si>
    <t>[Santillan-Saldivar, Jair; Sonnemann, Guido] Univ Bordeaux, Inst Sci Mol, Talence, France; [Gaugler, Tobias; Helbig, Christoph; Rathgeber, Andreas; Thorenz, Andrea; Tuma, Axel] Univ Augsburg, Inst Mat Resource Management, Augsburg, Germany; [Helbig, Christoph; Thorenz, Andrea; Tuma, Axel] Univ Augsburg, Resource Lab, Augsburg, Germany; [Santillan-Saldivar, Jair; Sonnemann, Guido] CNRS, Inst Sci Mol, Talence, France</t>
  </si>
  <si>
    <t>Helbig, C (corresponding author), Univ Augsburg, Univ Str 16, D-86159 Augsburg, Germany.</t>
  </si>
  <si>
    <t>christoph.helbig@wiwi.uni-augsburg.de</t>
  </si>
  <si>
    <t>10.1111/jiec.13094</t>
  </si>
  <si>
    <t>DEC 2020</t>
  </si>
  <si>
    <t>WOS:000600580200001</t>
  </si>
  <si>
    <t>Usman, A; Sohail, S; Ullah, S</t>
  </si>
  <si>
    <t>Usman, Ahmed; Sohail, Sidra; Ullah, Sana</t>
  </si>
  <si>
    <t>Does trade in mineral resources used in renewable energy development mitigate energy security risks?</t>
  </si>
  <si>
    <t>The global shift toward sustainable energy sources has intensified the demand for critical minerals, presenting both challenges and opportunities for energy security. Therefore, this study examines the impact of mineral resource trade on energy security risk among the top 33 energy-consuming economies from 1995 to 2022. Using the CS-ARDL approach, the analysis reveals that aggregate trade in critical minerals significantly reduces energy security risks in both the short and long run. Moreover, the individual trade of key minerals-such as aluminum, chromium, copper, lithium, manganese, nickel, silicon, and zinc-also contributes to mitigating energy security risks in both the short and long run. The control variable of GDP helps reduce both short- and long-run energy security risks. In contrast, research and development, as well as industrialization, only mitigate energy security risks in the long run. Conversely, urbanization is associated with increasing energy security risks. The findings suggest that policymakers should prioritize the diversification of critical mineral supply chains to reduce dependence on single sources or regions, thereby minimizing the risk of supply disruptions and geopolitical tensions that may threaten renewable energy development and overall energy security.</t>
  </si>
  <si>
    <t>[Usman, Ahmed] Emerson Univ, Dept Commerce &amp; Econ, Multan, Pakistan; [Sohail, Sidra] Cyprus Hlth &amp; Social Sci Univ, Mersin 10, Guzelyurt, Turkiye; [Sohail, Sidra] ILMA Univ Karachi Pakistan, Dept Business Adm, Karachi, Pakistan; [Ullah, Sana] Near East Univ, Fac Econ &amp; Adm Sci, Dept Econ, Nicosia, Turkiye; [Ullah, Sana] Univ Econ &amp; Human Sci Warsaw, Warsaw, Poland; [Ullah, Sana] European Univ Lefke, Adv Res Ctr, Mersin TR-10, Lefke, Northern Cyprus, Turkiye</t>
  </si>
  <si>
    <t>Sohail, S (corresponding author), Cyprus Hlth &amp; Social Sci Univ, Mersin 10, Guzelyurt, Turkiye.;Sohail, S (corresponding author), ILMA Univ Karachi Pakistan, Dept Business Adm, Karachi, Pakistan.</t>
  </si>
  <si>
    <t>ahmed.usman.au1988@gmail.com; sidrasohail1@yahoo.com; sana_ullah133@yahoo.com</t>
  </si>
  <si>
    <t>2025 JUN 23</t>
  </si>
  <si>
    <t>10.1007/s13563-025-00527-5</t>
  </si>
  <si>
    <t>WOS:001513488400001</t>
  </si>
  <si>
    <t>Machedon-Pisu, M; Borza, PN</t>
  </si>
  <si>
    <t>Machedon-Pisu, Mihai; Borza, Paul Nicolae</t>
  </si>
  <si>
    <t>A Methodological Approach to Assess the Impact of Energy and Raw Materials Constraints on the Sustainable Deployment of Light-Duty Vehicles by 2050</t>
  </si>
  <si>
    <t>SUSTAINABILITY</t>
  </si>
  <si>
    <t>Light-duty vehicles represent the land transport means with the most prominent impact on environment, society's travel needs, and market dynamics. The evolution of different powertrains is analyzed herein mainly in terms of the raw materials sensitive to exploitation and the energy use in three stages: production, operation, and end of life. In this sense, this study proposes a methodology based on balancing the rapports between supply and demand in order to evaluate every powertrain's market share by 2050. The results of this analysis are compared to the outputs of other models and frameworks that aim to assess the sustainable deployment of transport means. The results show that scenarios that propose a market share of 25% for battery electric vehicles are unlikely to happen by 2050 due to the disruptions of the lithium, cobalt, and nickel supply chains, while the ambitious target of 50% market share for battery electric vehicles is not possible by then. The main findings of this study refer to the role played by battery chemistry and storage capacity in determining the market penetration of various powertrains for light-duty vehicles under the specific constraints of the automotive sector related to energy and materials.</t>
  </si>
  <si>
    <t>[Machedon-Pisu, Mihai; Borza, Paul Nicolae] Transilvania Univ Brasov, Dept Elect &amp; Comp, B Dul Eroilor 29, Brasov 500036, Romania</t>
  </si>
  <si>
    <t>Machedon-Pisu, M (corresponding author), Transilvania Univ Brasov, Dept Elect &amp; Comp, B Dul Eroilor 29, Brasov 500036, Romania.</t>
  </si>
  <si>
    <t>mihai_machedon@unitbv.ro; borzapn@unitbv.ro</t>
  </si>
  <si>
    <t>10.3390/su132111826</t>
  </si>
  <si>
    <t>WOS:000719373600001</t>
  </si>
  <si>
    <t>Ku, AY; Kocs, EA; Fujita, Y; Haddad, AZ; Gray, RW</t>
  </si>
  <si>
    <t>Ku, Anthony Y.; Kocs, Elizabeth A.; Fujita, Yoshiko; Haddad, Andrew Z.; Gray, Robert W.</t>
  </si>
  <si>
    <t>Materials scarcity during the clean energy transition: Myths, challenges, and opportunities</t>
  </si>
  <si>
    <t>MRS ENERGY &amp; SUSTAINABILITY</t>
  </si>
  <si>
    <t>Efforts to reach net zero targets by the second half of the century will have profound materials supply implications. The anticipated scale and speed of the energy transition in both transportation and energy storage raises the question of whether we risk running out of the essential critical materials needed to enable this transition. Early projections suggest that disruptions are likely to occur in the short term for select critical materials, but at the same time these shortages provide a powerful incentive for the market to respond in a variety of ways before supply-level stress becomes dire. In April 2023, the MRS Focus on Sustainability subcommittee sponsored a panel discussion on the role of innovation in materials science and engineering in supporting supply chains for clean energy technologies. Drawing on examples from the panel discussion, this perspective examines the myth of materials scarcity, explains the compelling need for innovation in materials in helping supply chains dynamically adapt over time, and illustrates how the Materials Research Society is facilitating engagement with industry to support materials innovation, now and in the future.HighlightsIn this commentary, we examine the myth of materials scarcity, explain the compelling need for innovation in materials in helping supply chains dynamically adapt over time, and show how the materials research community can effectively engage with industry, policymakers, and funding agencies to drive the needed innovation in critical areas.DiscussionDemand for certain materials used in clean energy technologies is forecasted to increase by multiples of current production over the next decades. This has drawn attention to supply chain risks and has created a myth that we will run out out of certain materials during the energy transition. The reality is that markets have multiple mechanisms to adapt over the long-term, and near-term shortages or expectations of shortages provide a powerful incentive for action. In this commentary, we highlight different ways materials innovation can help solve these issues in the near term and long term, and how the materials research community can effectively engage with industry and policymakers.</t>
  </si>
  <si>
    <t>[Ku, Anthony Y.] Xiron Global Ltd, London, England; [Kocs, Elizabeth A.] GTI Energy, Des Plaines, IL USA; [Fujita, Yoshiko] Crit Mat Innovat Hub, Ames, IA USA; [Fujita, Yoshiko] Idaho Natl Lab, Idaho Falls, ID USA; [Haddad, Andrew Z.] Lawrence Berkeley Natl Lab, Energy Storage &amp; Distributed Resources Div, Berkeley, CA 94720 USA; [Gray, Robert W.] DuPont Co Inc, Wilmington, DE USA</t>
  </si>
  <si>
    <t>Ku, AY (corresponding author), Xiron Global Ltd, London, England.</t>
  </si>
  <si>
    <t>anthony.ku@xironglobal.com</t>
  </si>
  <si>
    <t>10.1557/s43581-023-00077-9</t>
  </si>
  <si>
    <t>WOS:001145337400001</t>
  </si>
  <si>
    <t>Castillo, E; del Real, I; Roa, C</t>
  </si>
  <si>
    <t>Castillo, Emilio; del Real, Irene; Roa, Cintia</t>
  </si>
  <si>
    <t>Critical minerals versus major minerals: a comparative study of exploration budgets</t>
  </si>
  <si>
    <t>Disruptions in the minerals supply chain play a central role in defining the future stock of minerals; therefore, an in-depth analysis of the outcomes and variables affecting exploration is required. In comparative terms, the exploration of critical minerals and major minerals presents geological and technical differences; thus, exploration budgets for critical minerals should be expected to depart from those observed in other minerals. In this context, the main goal of this paper is to contrast how exploration budgets differ between critical and major minerals when considering a set of key variables. We take a multivariate statistical analysis approach based on firm-level budget exploration data to show four key findings: exploration budgets allocated for critical minerals remain consistently lower than major minerals even when controlling for other factors. Moreover, they present a higher sensitivity to fluctuations in commodity prices. Besides, the investment made by larger companies in critical minerals significantly lags behind those made by junior companies. Additionally, the focus of exploration activity for critical minerals predominantly lies in the earlier stages of the exploration process. We expect these initial results to be used as a step forward to facilitate the discussion about exploration policies and, consequently, the reliability of the supply chain.</t>
  </si>
  <si>
    <t>[Castillo, Emilio] Univ Chile, Min Engn Dept, Beauchef 850, Santiago, Chile; [del Real, Irene] Univ Austral Chile, Geol Dept, Independencia 631, Valdivia, Chile; [Roa, Cintia] Chilean Copper Commiss COCHILCO, Agustinas 1161, Santiago, Chile</t>
  </si>
  <si>
    <t>Castillo, E (corresponding author), Univ Chile, Min Engn Dept, Beauchef 850, Santiago, Chile.</t>
  </si>
  <si>
    <t>ecastillo@uchile.cl</t>
  </si>
  <si>
    <t>10.1007/s13563-023-00388-w</t>
  </si>
  <si>
    <t>AUG 2023</t>
  </si>
  <si>
    <t>WOS:001050906200001</t>
  </si>
  <si>
    <t>Calvo, G; Valero, A</t>
  </si>
  <si>
    <t>Calvo, Guiomar; Valero, Alicia</t>
  </si>
  <si>
    <t>Strategic mineral resources: Availability and future estimations for the renewable energy sector</t>
  </si>
  <si>
    <t>ENVIRONMENTAL DEVELOPMENT</t>
  </si>
  <si>
    <t>To keep the increase in global average temperature below 2 C the use of renewable energy sources is essential. There are various scenarios for this energy transition depending on the amounts and types of renewable energies implemented. However, the material requirements to build new renewable power systems is rarely considered. It is key to understand the impact that the increasing demand of materials for renewable technologies could have on mining and mineral availability and so avoid potential disruptions. Thirteen strategic elements for the renewable energy sector have been analyzed which could generate supply shortages in the medium to long term. From the supply side, production, current resources and data related to future production have been compiled. From the demand side, element use in solar power (PV and CSP), wind energy (on and off-shore), and electric vehicles have been analyzed, as well as the demand of each element in other sectors from 2018 to 2050. Of the 13 elements included in this study, cobalt, lithium, tellurium, and nickel are the most critical of all. Technologies should be more effective in their use. Governments and companies should incorporate policies related to the conservation and extension of its life through recycling and servitisation to avoid resource depletion.</t>
  </si>
  <si>
    <t>[Calvo, Guiomar; Valero, Alicia] Univ Zaragoza, Res Ctr Energy Resources &amp; Consumpt CIRCE Inst, Calle Mariano Esquillor Gomez 15, Zaragoza 50018, Spain</t>
  </si>
  <si>
    <t>Calvo, G (corresponding author), Univ Zaragoza, Res Ctr Energy Resources &amp; Consumpt CIRCE Inst, Calle Mariano Esquillor Gomez 15, Zaragoza 50018, Spain.</t>
  </si>
  <si>
    <t>gcalvose@unizar.es</t>
  </si>
  <si>
    <t>10.1016/j.envdev.2021.100640</t>
  </si>
  <si>
    <t>MAR 2022</t>
  </si>
  <si>
    <t>WOS:000771013100006</t>
  </si>
  <si>
    <t>Zhang, M; Chang, IS; Wu, J</t>
  </si>
  <si>
    <t>Zhang, Min; Chang, I. -Shin; Wu, Jing</t>
  </si>
  <si>
    <t>Sustainability of lithium-ion battery recycling industry in China: An explorative analysis via an innovative dynamic business modeling for sustainability</t>
  </si>
  <si>
    <t>ENERGY</t>
  </si>
  <si>
    <t>The rapid accumulation of spent lithium-ion batteries (LIBs), driven by the large-scale deployment of electric vehicles, has rendered the construction of an efficient recycling system a critical challenge for the circular economy. Addressing this global issue, sustainable business models (SBMs) are increasingly recognized as a vital pathway for enterprises to achieve long-term value creation, attracting widespread attention. This paper proposes a quantifiable dynamic sustainable business model (DSBM) as a novel approach for forecasting sustainable benefits within China's LIBs industry, which was constructed by incorporating dynamic feedback mechanisms of economic, social, and environmental value creation into a comprehensive framework for both qualitative and quantitative assessment, so as to overcome the limitations of static traditional business models (BMs). From the life cycle perspective, three typical BMs exist, namely: repurposing, resourcelization, and closed-loop recycling. Next, this DSBM was employed to evaluate the multi-dimensional sustainable benefits of these BMs and explore the necessity of implementing SBMs. As the findings indicate, the greatest advantage of repurposing BM is to effectively extend the life cycle of LIBs recycling industry and create higher potential for sustainable value; while supply chain disruption risks are significantly mitigated in the resourcelization BM. On the other hand, the closed-loop BM shows the greatest overall sustainable performance by reducing production costs and lifecycle carbon emissions, and the tapered subsidy and mandatory closed-loop policies can effectively drive the circular economy in LIBs recycling. The DSBM approach provides a more robust means to effectively quantify sustainable benefits, thereby supporting future research and practical implementation of SBMs.</t>
  </si>
  <si>
    <t>[Zhang, Min; Wu, Jing] Nankai Univ, Coll Environm Sci &amp; Engn, 38 Tongyan Rd,Haihe Educ Pk, Tianjin 300350, Peoples R China; [Chang, I. -Shin] Fujian Polytech Normal Univ, Ocean Coll, 1 Campus New Village,Longjiang St, Fuzhou 350300, Fujian, Peoples R China; [Chang, I. -Shin] Fujian Polytech Normal Univ, Fujian Prov Key Lab Coastal Basin Environm, 1,Campus New Village,Longjiang St, Fuqing 350300, Fujian, Peoples R China</t>
  </si>
  <si>
    <t>Wu, J (corresponding author), Nankai Univ, Coll Environm Sci &amp; Engn, 38 Tongyan Rd,Haihe Educ Pk, Tianjin 300350, Peoples R China.;Chang, IS (corresponding author), Fujian Polytech Normal Univ, Ocean Coll, 1 Campus New Village,Longjiang St, Fuzhou 350300, Fujian, Peoples R China.</t>
  </si>
  <si>
    <t>heartchang@126.com; wujing@nankai.edu.cn</t>
  </si>
  <si>
    <t>DEC 15</t>
  </si>
  <si>
    <t>10.1016/j.energy.2025.139140</t>
  </si>
  <si>
    <t>NOV 2025</t>
  </si>
  <si>
    <t>WOS:001615122400005</t>
  </si>
  <si>
    <t>Agua, OFB; Basilio, RJA; Pabillan, MD; Castro, MT; Blechinger, P; Ocon, JD</t>
  </si>
  <si>
    <t>Agua, Olivia Francesca B.; Basilio, Robert Joseph A.; Pabillan, Mc Erschad D.; Castro, Michael T.; Blechinger, Philipp; Ocon, Joey D.</t>
  </si>
  <si>
    <t>Decentralized versus Clustered Microgrids: An Energy Systems Study for Reliable Off-Grid Electrification of Small Islands</t>
  </si>
  <si>
    <t>Philippine off-grid islands are mostly electrified by diesel generators, resulting in costly electricity that is interrupted by fuel supply disruptions. The archipelagic nature of the country also impedes off-grid electrification due to the high capital cost of grid extension. Transitioning from diesel-only systems to hybrid renewable energy systems and interconnecting the island microgrids can solve these problems while promoting cleaner energy production. In this work, a comparative study on decentralized and clustered hybrid renewable energy system microgrids in the Polillo group of islands in the Philippines, using HOMER Pro, was performed. Microgrids comprising solar photovoltaics, lithium-ion battery energy storage, and diesel generators were designed on each island. Clustered systems encompassing multiple islands in the island group were simulated by also considering the least-cost interconnection paths. The techno-economics of each decentralized or clustered system and the four-island system were evaluated based on the levelized cost of electricity (LCOE). Reliability was assessed using the change in LCOE upon the failure of a component and during weather disturbances. Transitioning from diesel-only systems to hybrid systems reduces generation costs by an average of 42.01% and increases the renewable energy share to 80%. Interconnecting the hybrid systems results in an average increase of 2.34% in generation costs due to the cost of submarine cables but improves system reliability and reduces the optimum solar photovoltaic and lithium-ion storage installations by 6.66% and 8.71%, respectively. This research serves as a framework for the interconnection pre-feasibility analysis of other small off-grid islands.</t>
  </si>
  <si>
    <t>[Agua, Olivia Francesca B.; Basilio, Robert Joseph A.; Pabillan, Mc Erschad D.; Castro, Michael T.; Ocon, Joey D.] Univ Philippines Diliman, Dept Chem Engn, Lab Electrochem Engn LEE, Diliman 1101, Philippines; [Blechinger, Philipp] Reiner Lemoine Inst, Off Grid Syst Grp, Rudower Chaussee 12, D-12489 Berlin, Germany</t>
  </si>
  <si>
    <t>Ocon, JD (corresponding author), Univ Philippines Diliman, Dept Chem Engn, Lab Electrochem Engn LEE, Diliman 1101, Philippines.</t>
  </si>
  <si>
    <t>obagua@up.edu.ph; rabasilio@up.edu.ph; mdpabillan@up.edu.ph; mtcastro1@up.edu.ph; philipp.blechinger@rl-institut.de; jdocon@up.edu.ph</t>
  </si>
  <si>
    <t>10.3390/en13174454</t>
  </si>
  <si>
    <t>WOS:000569660900001</t>
  </si>
  <si>
    <t>Busch, J; Steinberger, JK; Dawson, DA; Purnell, P; Roelich, K</t>
  </si>
  <si>
    <t>Busch, Jonathan; Steinberger, Julia K.; Dawson, David A.; Purnell, Phil; Roelich, Katy</t>
  </si>
  <si>
    <t>Managing Critical Materials with a Technology-Specific Stocks and Flows Model</t>
  </si>
  <si>
    <t>The transition to low carbon infrastructure systems required to meet climate change mitigation targets will involve an unprecedented roll-out of technologies reliant upon materials not previously widespread in infrastructure. Many of these materials (including lithium and rare earth metals) are at risk of supply disruption. To ensure the future sustainability and resilience of infrastructure, circular economy policies must be crafted to manage these critical materials effectively. These policies can only be effective if supported by an understanding of the material demands of infrastructure transition and what reuse and recycling options are possible given the future availability of end-of-life stocks. This Article presents a novel, enhanced stocks and flows model for the dynamic assessment of material demands resulting from infrastructure transitions. By including a hierarchical, nested description of infrastructure technologies, their components, and the materials they contain, this model can be used to quantify the effectiveness of recovery at both a technology remanufacturing and reuse level and a material recycling level. The model's potential is demonstrated on a case study on the roll-out of electric vehicles in the UK forecast by UK Department of Energy and Climate Change scenarios. The results suggest policy action should be taken to ensure Li-ion battery recycling infrastructure is in place by 2025 and NdFeB motor magnets should be designed for reuse. This could result in a reduction in primary demand for lithium of 40% and neodymium of 70%.</t>
  </si>
  <si>
    <t>[Busch, Jonathan; Steinberger, Julia K.; Roelich, Katy] Univ Leeds, Sch Earth &amp; Environm, Sustainabil Res Inst, Leeds LS2 9JT, W Yorkshire, England; [Dawson, David A.; Purnell, Phil; Roelich, Katy] Univ Leeds, Sch Civil Engn, Inst Resilient Infrastruct, Leeds LS2 9JT, W Yorkshire, England; [Steinberger, Julia K.] Alpen Adria Univ, Inst Social Ecol, A-1070 Klagenfurt, Austria</t>
  </si>
  <si>
    <t>Busch, J (corresponding author), Univ Leeds, Sch Earth &amp; Environm, Sustainabil Res Inst, Leeds LS2 9JT, W Yorkshire, England.</t>
  </si>
  <si>
    <t>j.busch@leeds.ac.uk</t>
  </si>
  <si>
    <t>JAN 21</t>
  </si>
  <si>
    <t>10.1021/es404877u</t>
  </si>
  <si>
    <t>WOS:000330205000056</t>
  </si>
  <si>
    <t>Andrieu, B; Cervantes-Barrón, K; Pant, R; Barzin, S; Heydari, M; Parpan, G; Cullen, J</t>
  </si>
  <si>
    <t>Andrieu, Baptiste; Cervantes-Barron, Karla; Pant, Raghav; Barzin, Samira; Heydari, Mehrnoosh; Parpan, Gael; Cullen, Jonathan</t>
  </si>
  <si>
    <t>The impact of mine ownership on trade of metal ores</t>
  </si>
  <si>
    <t>Metals are essential to the global economy, yet traditional criticality assessments, often based solely on the geographic concentration of mining production, overlook the corporate control dimension of risk. Here, we analyzed whether ownership structures affect trade patterns in critical minerals and examined how production and corporate control diverged from 2000 to 2022. We developed a comprehensive country-level dataset using S&amp;P Capital IQ Pro for 12 key metals and metal ores, calculated Herfindahl-Hirschman indices (HHI) for production and ownership, and statistically tested the relationship between foreign mine ownership and international trade flows using logistic and fixed-effects regressions. Finally, we built scenarios for production and ownership in 2030 to match demand estimates from the International Energy Agency (IEA). Results showed only 2%-14% of global ore trade value overlaping with existing foreign ownership ties and no statistically significant relationship between foreign mine ownership and trade flows. Additionally, clear divergences emerged between ownership and production concentration: cobalt production was highly geographically concentrated (HHI of 4602 in 2022) but had dispersed corporate ownership (HHI of 1985), and high-income countries frequently held substantial ownership stakes despite declining shares of actual production. Projected scenarios indicated continued shifts, notably reduced cobalt and lithium production shares in traditional producer countries, offset by growing Canadian and Australian ownership. Although market dynamics do not appear to be influenced by ownership structures today, corporate control remains a potential lever for supply chain disruption. This underscores the need to incorporate ownership into criticality assessments for a more comprehensive understanding of supply risks.</t>
  </si>
  <si>
    <t>[Andrieu, Baptiste; Cervantes-Barron, Karla; Heydari, Mehrnoosh; Cullen, Jonathan] Univ Cambridge, Engn Dept, Cambridge CB2 1PL, England; [Pant, Raghav; Barzin, Samira] Univ Oxford, Environm Change Inst, Oxford OX1 3QY, England; [Parpan, Gael] Cnam, Arts &amp; Metiers Inst Technol, Lab PIMM, CNRS,Cnam, F-75013 Paris, France</t>
  </si>
  <si>
    <t>Andrieu, B (corresponding author), Univ Cambridge, Engn Dept, Cambridge CB2 1PL, England.</t>
  </si>
  <si>
    <t>bla28@cam.ac.uk</t>
  </si>
  <si>
    <t>JAN 15</t>
  </si>
  <si>
    <t>10.1016/j.resconrec.2025.108647</t>
  </si>
  <si>
    <t>WOS:001604764500001</t>
  </si>
  <si>
    <t>Kesler, SE; Gruber, PW; Medina, PA; Keoleian, GA; Everson, MP; Wallington, TJ</t>
  </si>
  <si>
    <t>Kesler, Stephen E.; Gruber, Paul W.; Medina, Pablo A.; Keoleian, Gregory A.; Everson, Mark P.; Wallington, Timothy J.</t>
  </si>
  <si>
    <t>Global lithium resources: Relative importance of pegmatite, brine and other deposits</t>
  </si>
  <si>
    <t>ORE GEOLOGY REVIEWS</t>
  </si>
  <si>
    <t>Previous studies of the availability of lithium for use in batteries to power electric vehicles (EVs) have reached the generally encouraging conclusion that resources are sufficient to meet growing demand for the remainder of the 21st century. However, these surveys have not looked past estimates of lithium resource to the geological constraints on deposit size and composition that will allow the resources to be converted to reserves from which lithium can be produced economically. In this survey, we review the relevant geological features of the best characterized pegmatite, brine and other types of lithium deposits and compare their potential for large-scale, long-term production. The comparison shows that the average brine deposit (1.45 Mt Li) is more than an order of magnitude larger than the average pegmatite deposit (0.11 Mt Li) and that brine deposits, especially the large Atacama (Chile) and Uyuni (Bolivia) deposits, have a much larger total lithium resource (21.6 Mt Li). Brine deposits clearly have a much greater capacity for large-scale, long-term production than do pegmatite deposits. However, individual brine deposits differ considerably and successful production from one deposit does not necessarily assure success at others. Conversion of brine resources to reserves will depend on the degree of compartmentalization of brine reservoirs, the extent to which brine can be recovered without dilution from recharge waters and degradation of salt-bearing reservoir rock, and whether other constituents of the brines, including potassium, magnesium, bromine and boron, restrict processing or the capacity of production to respond to changes in demand for lithium. Despite their smaller size and total estimated resource (3.9 Mt), pegmatites will remain of interest because of their wider geographic distribution and consequently lesser susceptibility to supply disruptions and their more lithium-dominant compositions, which might allow more flexible response to market changes. Some deposits will be amenable to large-scale mining, but significant production might also come from selective, underground mining of small deposits in areas with low labor costs. Even the largest pegmatite deposits, such as those at Greenbushes (Australia) and Manono Kitolo (Democratic Republic of Congo) have estimated resources that are similar to only an average brine deposit. For this reason, continuous, long-term production from pegmatites will require extensive exploration and discovery of new pegmatite deposits and districts. Two other types of lithium deposits, unusual rocks and unusual fluids, have also received attention. Deposits consisting of rocks and minerals that are enriched in lithium by interaction with brines and hydrothermal solutions, including the large Jadar (Serbia) and King Valley (USA) deposits, have estimated resources of about 3.4 Mt Li. Unusual brines in oilfields and the Salton Sea geothermal field (USA) contain an estimated 2 Mt Li. Both of these deposit types will require new processing methods but are likely to become important because of their lithium-dominant compositions and relatively large size. The total lithium resource in these deposits (31.1 Mt Li) far exceeds estimated lithium demand of up to 20 Mt Li (including consideration for recycling) in all markets through 2100. The difference between these two estimates should be vied largely as a challenge rather than a comfort. Evaluation of the economic extractability of these resources will require large investments and result in only partial success. If prices provide sufficient encouragement and exploration is sustained, however, lithium resources should be available for the next century. (C) 2012 Elsevier B.V. All rights reserved.</t>
  </si>
  <si>
    <t>[Kesler, Stephen E.] Univ Michigan, Dept Earth &amp; Environm Sci, Ann Arbor, MI 48109 USA; [Gruber, Paul W.] Univ Calif Davis, Inst Transportat Studies, Davis, CA 95616 USA; [Medina, Pablo A.; Keoleian, Gregory A.] Univ Michigan, Sch Nat Resources &amp; Environm, Ctr Sustainable Syst, Ann Arbor, MI 48109 USA; [Everson, Mark P.; Wallington, Timothy J.] Ford Motor Co, Syst Analyt &amp; Environm Sci, Dearborn, MI 48121 USA</t>
  </si>
  <si>
    <t>Kesler, SE (corresponding author), Univ Michigan, Dept Earth &amp; Environm Sci, Ann Arbor, MI 48109 USA.</t>
  </si>
  <si>
    <t>skesler@umich.edu</t>
  </si>
  <si>
    <t>10.1016/j.oregeorev.2012.05.006</t>
  </si>
  <si>
    <t>WOS:000310401600003</t>
  </si>
  <si>
    <t>García-Ten, J; Dondi, M; Lisboa, JVMBV; Cabedo, MV; Pérez-Villarejo, L; Rambaldi, E; Zanelli, C</t>
  </si>
  <si>
    <t>Garcia-Ten, Javier; Dondi, Michele; Lisboa, Jose Vitor M. B. Vieira; Cabedo, Monica Vicent; Perez-Villarejo, Luis; Rambaldi, Elisa; Zanelli, Chiara</t>
  </si>
  <si>
    <t>Critical raw materials in the global high-throughput ceramic industry</t>
  </si>
  <si>
    <t>SUSTAINABLE MATERIALS AND TECHNOLOGIES</t>
  </si>
  <si>
    <t>The high-throughput ceramic industry is exposed, at the global level, to the risk of shortage and/or sudden price growth of raw materials, particularly Critical Raw Materials (CRMs). The goal of the present study is to overview the dependence on CRMs of a sector transforming a large amount of mineral resources, i.e. the ceramic manufacturing and its supply chain (wall and floor tiles, sanitaryware and tableware, frits and glazes, pigments and inks, and so on). For this purpose, a critical assessment with expert consultation was carried out to quantify demand, uses, recycling and possible substitutes of CRMs. Such data allowed assessing the risk exposure for the ceramic industry at the global level, at the light of expected trends in production and demand for every CRM. The various subsectors into which the high-throughput ceramic industry is divided are exposed differently to supply risk. The production of inks, pigments, dyes and effects for ceramic decoration is mainly exposed to supply risk, and similarly that of frits, glazes and grinding media. End-users of these materials (in particular tile manufacturers) are equally exposed to risk, albeit indirectly. However, the direct use of CRMs in ceramic bodies occurs massively only for feldspar (in different percentages in wall and floor tiles, sanitaryware, and tableware). Other subsectors (silicate refractories and insulators, clay bricks and roof tiles, machinery components, etc.) do not make use of or only make occasional use of certain CRMs. The ceramic industry must implement actions to mitigate the different degrees of supply risk to which the CRM is exposed. The extreme risk (Cobalt and Praseodymium) makes it necessary to search for substitutes and technological solutions to reduce CRM consumption. These actions are also recommended in the case of high risk (Antimony and Lithium). The recommended actions to mitigate moderate risk (Barium, Bismuth, Borates, Feldspar, Tungsten, Vanadium and Yttrium) consist mainly of strengthening the supply chain and improving resource efficiency. No action appears to be necessary for low risk (Cerium, Manganese, Phosphate and Platinum Group), while no risk has been found for Fluorine and Niobium. To ensure the access to CRMs without disruptions, it is appropriate to envisage a medium-long term strategy, involving the various players in the ceramic supply chain.</t>
  </si>
  <si>
    <t>[Garcia-Ten, Javier; Cabedo, Monica Vicent] Univ Jaume 1, Asociac Invest Ind Ceram AICE, Inst Tecnol Ceram ITC, Castellon De La Plana, Castellon, Spain; [Dondi, Michele; Zanelli, Chiara] CNR, Inst Sci Technol &amp; Sustainabil Ceram, ISSMC, Faenza, Italy; [Lisboa, Jose Vitor M. B. Vieira] Lab Nacl Energia &amp; Geol LNEG, Amadora, Portugal; [Perez-Villarejo, Luis] Univ Jaen, Higher Polytech Sch Linares, Dept Chem Environm &amp; Mat Engn, Linares, Spain; [Rambaldi, Elisa] ITALCER spa, Rubiera, Italy</t>
  </si>
  <si>
    <t>Dondi, M (corresponding author), CNR, Inst Sci Technol &amp; Sustainabil Ceram, ISSMC, Faenza, Italy.</t>
  </si>
  <si>
    <t>javier.garcia@itc.uji.es; michele.dondi@issmc.cnr.it; vitor.lisboa@lneg.pt; monica.vicent@itc.uji.es; lperezvi@ujaen.es; elisa.rambaldi@gruppoitalcer.it; chiara.zanelli@issmc.cnr.it</t>
  </si>
  <si>
    <t>e00832</t>
  </si>
  <si>
    <t>10.1016/j.susmat.2024.e00832</t>
  </si>
  <si>
    <t>WOS:001167907100001</t>
  </si>
  <si>
    <t>Loureiro, G; Dias, A; Almeida, J; Martins, A; Silva, E</t>
  </si>
  <si>
    <t>Loureiro, Gabriel; Dias, Andre; Almeida, Jose; Martins, Alfredo; Silva, Eduardo</t>
  </si>
  <si>
    <t>Evaluation of Deep Learning Models for Polymetallic Nodule Detection and Segmentation in Seafloor Imagery</t>
  </si>
  <si>
    <t>JOURNAL OF MARINE SCIENCE AND ENGINEERING</t>
  </si>
  <si>
    <t>Climate change has led to the need to transition to clean technologies, which depend on an number of critical metals. These metals, such as nickel, lithium, and manganese, are essential for developing batteries. However, the scarcity of these elements and the risks of disruptions to their supply chain have increased interest in exploiting resources on the deep seabed, particularly polymetallic nodules. As the identification of these nodules must be efficient to minimize disturbance to the marine ecosystem, deep learning techniques have emerged as a potential solution. Traditional deep learning methods are based on the use of convolutional layers to extract features, while recent architectures, such as transformer-based architectures, use self-attention mechanisms to obtain global context. This paper evaluates the performance of representative models from both categories across three tasks: detection, object segmentation, and semantic segmentation. The initial results suggest that transformer-based methods perform better in most evaluation metrics, but at the cost of higher computational resources. Furthermore, recent versions of You Only Look Once (YOLO) have obtained competitive results in terms of mean average precision.</t>
  </si>
  <si>
    <t>[Loureiro, Gabriel; Dias, Andre; Almeida, Jose; Martins, Alfredo; Silva, Eduardo] INESCTEC Inst Syst &amp; Comp Engn Technol &amp; Sci, Rua Dr Roberto Frias, P-4200465 Porto, Portugal; [Dias, Andre; Almeida, Jose; Martins, Alfredo; Silva, Eduardo] Polytech Inst Porto, ISEP Sch Engn, Rua Dr Antonio Bernardino de Almeida 431, P-4200072 Porto, Portugal</t>
  </si>
  <si>
    <t>Loureiro, G (corresponding author), INESCTEC Inst Syst &amp; Comp Engn Technol &amp; Sci, Rua Dr Roberto Frias, P-4200465 Porto, Portugal.</t>
  </si>
  <si>
    <t>gabriel.s.loureiro@inesctec.pt; andre.dias@inesctec.pt; jose.m.almeida@inesctec.pt; alfredo.martins@inesctec.pt; eduardo.silva@inesctec.pt</t>
  </si>
  <si>
    <t>10.3390/jmse13020344</t>
  </si>
  <si>
    <t>WOS:001430155800001</t>
  </si>
  <si>
    <t>Mondal, A; Fu, YH; Gao, W; Mi, CC</t>
  </si>
  <si>
    <t>Mondal, Arpita; Fu, Yuhong; Gao, Wei; Mi, Chunting Chris</t>
  </si>
  <si>
    <t>Pretreatment of Lithium Ion Batteries for Safe Recycling with High-Temperature Discharging Approach</t>
  </si>
  <si>
    <t>BATTERIES-BASEL</t>
  </si>
  <si>
    <t>The ongoing transition toward electric vehicles is a major factor in the exponential rise in demand for lithium-ion batteries (LIBs). There is a significant effort to recycle battery materials to support the mining industry in ensuring enough raw materials and avoiding supply disruptions, so that there will be enough raw materials to produce LIBs. Nevertheless, LIBs that have reached the end of their useful lives and are sent for recycling may still have some energy left in them, which could be dangerous during handling and processing. Therefore, it is important to conduct discharge pretreatment of LIBs before dismantling and crushing them, especially in cases where pyrometallurgical recycling is not used. Electrochemical discharge in conducting solutions has been commonly studied and implemented for this purpose, but its effectiveness has yet to be fully validated. Non-electrochemical discharge has also been researched as a potentially cleaner and more efficient discharge technology at the same time. This article presents a non-electrochemical discharge process by completely draining the energy from used batteries before recycling. A comprehensive investigation of the behavior of LIBs during discharge and the amount of energy remaining after fully discharging the battery at different temperatures is analyzed in this work. According to the experimental findings, completely discharging the battery at higher temperatures results in a reduced amount of residual energy in the battery. This outcome holds great importance in terms of safe and environmentally friendly recycling of used LIBs, emphasizing that safety and environmentally friendly recycling must go hand in hand with a cost-effective and sustainable solution.</t>
  </si>
  <si>
    <t>[Mondal, Arpita; Fu, Yuhong; Gao, Wei; Mi, Chunting Chris] San Diego State Univ, Dept Elect &amp; Comp Engn, 5500 Campanile Dr, San Diego, CA 92182 USA</t>
  </si>
  <si>
    <t>Mi, CC (corresponding author), San Diego State Univ, Dept Elect &amp; Comp Engn, 5500 Campanile Dr, San Diego, CA 92182 USA.</t>
  </si>
  <si>
    <t>amondal@sdsu.edu; yfu@sdsu.edu; wgao2@sdsu.edu; cmi@sdsu.edu</t>
  </si>
  <si>
    <t>10.3390/batteries10010037</t>
  </si>
  <si>
    <t>WOS:001149507100001</t>
  </si>
  <si>
    <t>Biswas, J; Ulmala, S; Wan, XB; Partinen, J; Lundström, M; Jokilaakso, A</t>
  </si>
  <si>
    <t>Biswas, Jayasree; Ulmala, Sofia; Wan, Xingbang; Partinen, Jere; Lundstrom, Mari; Jokilaakso, Ari</t>
  </si>
  <si>
    <t>Selective Sulfation Roasting for Cobalt and Lithium Extraction from Industrial LCO-Rich Spent Black Mass</t>
  </si>
  <si>
    <t>METALS</t>
  </si>
  <si>
    <t>The extraction of cobalt from secondary resources has become crucial, as cobalt has been identified as a strategically important and critical raw material due to the high risks of supply chain disruptions. In this work, selective sulfation roasting was investigated as a potential recycling strategy to extract cobalt and lithium from an industrial lithium cobalt oxide (LCO)-rich black mass. Additionally, the effect of graphite on metal extraction was studied. In the first set of experiments, the sieved black mass fraction containing both cathode and anode materials was directly roasted in a predetermined composition of gas mixtures of SO2, O-2, and Ar for 1 h at 850 degrees C. The gas composition was determined from Kellogg's diagram to allow for the selective sulfation of Co and Li. In another set of experiments, the carbon present in the black mass was first removed by roasting the material in Ar for 2 h and then in an Ar and O-2 gas mixture for five hours at 600 degrees C. Afterward, selective sulfation roasting was performed in mixtures of SO2, O-2, and Ar gas similar to the previous set of experiments. For comparison, similar experiments were performed at 800 degrees C. The sulfation roasted black mass was leached in water to study the efficiency of Co extraction into the solution. Interestingly, the presence of carbon was found to be beneficial for Co extraction. The extraction efficiency for the first case (with carbon present in the raw material) was observed to be more than three times higher than in the second case (with carbon removed) for sulfation at 850 degrees C. The extraction efficiency and purity of the extracted Co were found to be better for higher temperature sulfation roasting conditions due to faster reaction kinetics. It was also found that almost all of the Li could be recovered while extracting Co. The maximum efficiency of the extraction was 99.51% Li and 61.21% Co for roasting under a gas flow of 10% SO2-10% O-2-Ar at 850 degrees C for 60 min. These results suggest that Co and Li can be selectively extracted from the black mass by sulfation roasting pre-treatment followed by leaching in water. In holistic processing, the leach residue can then be further subjected to battery metal processing by state-of-the-art methods.</t>
  </si>
  <si>
    <t>[Biswas, Jayasree; Ulmala, Sofia; Partinen, Jere; Lundstrom, Mari; Jokilaakso, Ari] Aalto Univ, Sch Chem Engn, Dept Chem &amp; Met Engn, Espoo 02150, Finland; [Wan, Xingbang] Cent South Univ, Sch Energy Sci &amp; Engn, Changsha 410017, Peoples R China</t>
  </si>
  <si>
    <t>Biswas, J (corresponding author), Aalto Univ, Sch Chem Engn, Dept Chem &amp; Met Engn, Espoo 02150, Finland.</t>
  </si>
  <si>
    <t>jayasree.biswas@aalto.fi</t>
  </si>
  <si>
    <t>10.3390/met13020358</t>
  </si>
  <si>
    <t>WOS:000941493200001</t>
  </si>
  <si>
    <t>Zhu, XH; Li, MZ; Xia, PF; Lei, H; Peng, ZL</t>
  </si>
  <si>
    <t>Zhu, Xuhui; Li, Muzi; Xia, Pingfan; Lei, Hao; Peng, Zhanglin</t>
  </si>
  <si>
    <t>A Novel Hybrid Price Prediction Method Using Multimodal Deep Learning and LLM for New Energy Power Raw Materials</t>
  </si>
  <si>
    <t>IEEE TRANSACTIONS ON ENGINEERING MANAGEMENT</t>
  </si>
  <si>
    <t>Accurate prediction of raw material prices helps enterprises optimize procurement, control costs, and enhance profits. Yet, the interplay of factors, such as supply and demand imbalances, market volatility, and abrupt disruptions, still poses a significant challenge. To address these challenges, in this article, we propose a novel hybrid framework for price prediction, called EFD-CBGT, that combines deep learning and large language model (LLM). First of all, we leverage LLMs internalized rich knowledge and contextual reasoning capabilities to generate high-quality textual data using interactive querying. The textual data are then converted into low-dimensional, high-value features using financial BERT and deep sparse autoencoder. Second, we employ the empirical wavelet transform to create a stationary numerical series from the most strongly correlated features of raw material prices. Finally, by incorporating a featurewise attention module, we use four deep learning models to extract local, bidirectional temporal, temporal, and global features. We conduct comparative experiments, ablation studies, significance tests, and robustness analyses on three real datasets from a leading lithium-ion battery manufacturer in China. The experimental results demonstrate the effectiveness and robustness of EFD-CBGT.</t>
  </si>
  <si>
    <t>[Zhu, Xuhui; Li, Muzi; Peng, Zhanglin] Hefei Univ Technol, Sch Management, Hefei 230009, Peoples R China; [Xia, Pingfan] Anhui Univ, Sch Big Data &amp; Stat, Hefei 230601, Peoples R China; [Lei, Hao] Natl Univ Singapore, Dept Ind Syst Engn &amp; Management, Singapore 117602, Singapore</t>
  </si>
  <si>
    <t>Xia, PF (corresponding author), Anhui Univ, Sch Big Data &amp; Stat, Hefei 230601, Peoples R China.</t>
  </si>
  <si>
    <t>zhuxuhui@hfut.edu.cn; 2023171352@mail.hfut.edu.cn; xiapingfan@ahu.edu.cn; leihao@nus.edu.sg; pengzhanglin@hfut.edu.cn</t>
  </si>
  <si>
    <t>10.1109/TEM.2025.3649729</t>
  </si>
  <si>
    <t>WOS:001673859500001</t>
  </si>
  <si>
    <t>Vershkov, VA; Sarychev, DV; Notkin, GE; Shelukhin, DA; Buldakov, MA; Dnestrovskij, YN; Grashin, SA; Kirneva, NA; Krupin, VA; Klyuchnikov, LA; Melnikov, AV; Neudatchin, SV; Nurgaliev, MR; Pavlov, YD; Savrukhin, PV</t>
  </si>
  <si>
    <t>Vershkov, V. A.; Sarychev, D. V.; Notkin, G. E.; Shelukhin, D. A.; Buldakov, M. A.; Dnestrovskij, Yu. N.; Grashin, S. A.; Kirneva, N. A.; Krupin, V. A.; Klyuchnikov, L. A.; Melnikov, A. V.; Neudatchin, S. V.; Nurgaliev, M. R.; Pavlov, Yu. D.; Savrukhin, P. V.</t>
  </si>
  <si>
    <t>T-10 Team</t>
  </si>
  <si>
    <t>Review of recent experiments on the T-10 tokamak with all metal wall</t>
  </si>
  <si>
    <t>Transition to an all-metal wall was realized on T-10 by replacement of graphite limiters with tungsten ones. Light impurity levels remained high and W accumulation in the plasma core was revealed. A movable lithium (Li) limiter was added to investigate the possibility of the limitation of tungsten and light impurity levels in plasma. For the first time, tokamak results on tungsten protection with Li were obtained in OH and ECRH regimes. After lithization the tungsten density in the core dropped more than an order of magnitude, while W influx into plasma decreased 2-4 times. Drastic drops of light impurities in plasma were observed together with improvement of energy confinement time and density limit values. Nevertheless, Li levels in plasma remained low in both OH and ECRH regimes. Li density in the core as low as 0.5% of ne was obtained. Tungsten transport in T-10 plasma was investigated and results on prevention of W accumulation with central ECRH were obtained. Effects of plasma exposure on ITER-grade tungsten plates from limiters were studied. Investigations of density fluctuation with correlation reflectometry confirmed a decrease of fluctuation amplitude on high field side. Modeling showed that this effect can be, to a great extent, explained by the non-locality of reflectometry. Toroidal correlations at a distance of 2.5 m along field lines were studied. Three-wave interaction between geodesic acoustic modes and broad-band turbulence was found by analysis of heavy ion beam probe diagnostics data. The possibility of plasma current control and the prevention of non-thermal electron beams formation at density limit disruption by means of ECR heating and the controlled operation of OH power supply system has been demonstrated. The study of plasma density decay after gas puff switch off during density ramp-up phase in OH regimes and the effect of 'density pump out' during ECRH showed that both effects can be explained by the assumption regarding electron transport growth upon reaching marginal pressure profile. A new type of internal transport barrier in the narrow zone near q = 1 surface has been found.</t>
  </si>
  <si>
    <t>[Vershkov, V. A.; Sarychev, D. V.; Notkin, G. E.; Shelukhin, D. A.; Buldakov, M. A.; Dnestrovskij, Yu. N.; Grashin, S. A.; Kirneva, N. A.; Krupin, V. A.; Klyuchnikov, L. A.; Melnikov, A. V.; Neudatchin, S. V.; Nurgaliev, M. R.; Pavlov, Yu. D.; Savrukhin, P. V.; T-10 Team] NRC Kurchatov Inst, Moscow, Russia</t>
  </si>
  <si>
    <t>Vershkov, VA (corresponding author), NRC Kurchatov Inst, Moscow, Russia.</t>
  </si>
  <si>
    <t>dmvsar@yandex.ru</t>
  </si>
  <si>
    <t>10.1088/1741-4326/aa6b0e</t>
  </si>
  <si>
    <t>WOS:000405017700001</t>
  </si>
  <si>
    <t>JENKINSON, S; NAHORSKI, SR; CHALLISS, RAJ</t>
  </si>
  <si>
    <t>DISRUPTION BY LITHIUM OF PHOSPHATIDYLINOSITOL-4,5-BISPHOSPHATE SUPPLY AND INOSITOL-1,4,5-TRISPHOSPHATE GENERATION IN CHINESE-HAMSTER OVARY CELLS EXPRESSING HUMAN RECOMBINANT M(1) MUSCARINIC RECEPTORS</t>
  </si>
  <si>
    <t>MOLECULAR PHARMACOLOGY</t>
  </si>
  <si>
    <t>Inhibitory effects of the anti-manic agent lithium on carbachol-stimulated phosphoinositide signaling have been investigated in Chinese hamster ovary (CHO) cells transfected with human m1 muscarinic receptor cDNA (B-max, 816 fmol/mg of protein). In the presence of Li+, a time-dependent inhibition of inositol-1,4,5-trisphosphate [Ins(1,4,5)P-3] mass accumulation was observed within 10 min of agonist addition (IC50 for lithium inhibition at 20 min after carbachol addition, 0.5 mM). The Li+-induced decrease in agonist-stimulated Ins(1,4,5)P-3 levels was preceded by a dramatic increase in CMP-phosphatidate accumulation. The idea that Li+ blockade of inositol monophosphatase caused a rapid depletion of the cellular myo-inositol pool in CHO-m1 cells was supported by the reversal of Li+ effects by exogenous myoinositol. Carbachol (1 mM) alone caused a rapid and dramatic decrease in phosphatidylinositol-4,5-bisphosphate [PtdIns(4,5)Pn]in CHO-m1 cells labeled to equilibrium with [H-3]-inositol. Carbachol-evoked decreases in PtdIns(4,5)P-2 were time-dependently accentuated by Li+ (IC50 for Li+ inhibition at 20 min after carbachol addition, 1.2 mM). Measurements of changes in PtdIns(4,5)P-2 mass demonstrated that the effect of Li+ was completely and concentration-dependently reversed by addition of myo-inositol. Sequential 30-min periods of carbachol stimulation resulted in similar time courses of Ins(1,4,5)P-3 accumulation when an intervening 20-min recovery period was included in the protocol. Inclusion of Li+ throughout resulted in a more rapid and dramatic attenuation of Ins(1,4,5)P-3 during the agonist rechallenge period, which could be correlated with accentuated changes in PtdIns(4,5)P-2. These data demonstrate that, although mechanisms operate to efficiently resynthesize PtdIns(4,5)P-2, the temporal correlation of carbachol-evoked decreases in PtdIns(4,5)P-2 levels in the presence of Li+ strongly suggests that phosphoinositide-specific phospholipase C substrate depletion may be causal in the subsequent decrease in Ins(1,4,5)P-3 levels.</t>
  </si>
  <si>
    <t>UNIV LEICESTER,DEPT CELL PHYSIOL &amp; PHARMACOL,LEICESTER LE1 9HN,LEICS,ENGLAND</t>
  </si>
  <si>
    <t>WOS:A1994QA53300017</t>
  </si>
  <si>
    <t>Broecker, W</t>
  </si>
  <si>
    <t>Broecker, Wally</t>
  </si>
  <si>
    <t>The collision that changed the world</t>
  </si>
  <si>
    <t>ELEMENTA-SCIENCE OF THE ANTHROPOCENE</t>
  </si>
  <si>
    <t>In connection with the Anthropocene, one might ask how climate is likely to evolve in the absence of man's intervention and whether humans will be able to purposefully alter this course. In this commentary, I deal with the situation for very long time scales. I make a case that fifty million years ago, the collision between the northward drifting Indian land mass and Asia set the Earth's climate on a new course. Ever since then, it has cooled. In the absence of some other dramatic disruption in the movement of the plates which make up our planet's crust, on the time scale of tens of millions of years, this drift would cause the Earth to freeze over as it did during the late Precambrian. Evidence for this change in course comes from records of oxygen and lithium isotopic composition of foraminifer shells. It is reinforced by records of Mg to Ca in halite-hosted fluid inclusions and in marine CaCO3. In addition, the collision appears to have created abrupt changes in the sulfur isotope composition of marine barite and the carbon isotope composition of amber. Not only did this collision create the Himalaya, but more important, it led to a reorganization of the crustal plate motions. Through some combination of the building of mountains and lowering of sea level, these changes generated a mismatch between the supply of CO2 by planetary outgassing and that of calcium by the weathering of silicate rock. The tendency toward an oversupply of calcium has been compensated by a drawdown of the atmosphere's CO2 content. This drawdown cooled the Earth, slowing down the supply of calcium. Although we are currently inadvertently compensating for this cooling by burning fossil fuels, the impacts of this CO2 on Earth climate will last no more than a tenth of a million years. So, if humans succeed in avoiding extinction, there will likely be a long-term effort to warm the planet.</t>
  </si>
  <si>
    <t>Columbia Univ, Lamont Doherty Earth Observ, Palisades, NY 10964 USA</t>
  </si>
  <si>
    <t>Broecker, W (corresponding author), Columbia Univ, Lamont Doherty Earth Observ, Palisades, NY 10964 USA.</t>
  </si>
  <si>
    <t>broecker@ldeo.columbia.edu</t>
  </si>
  <si>
    <t>JUL 15</t>
  </si>
  <si>
    <t>10.12952/journal.elementa.000061</t>
  </si>
  <si>
    <t>WOS:000362115300001</t>
  </si>
  <si>
    <t>Florek, J; Negoro, M; Hu, Y; Kanamori, K; Nakanishi, K; Kleitz, F</t>
  </si>
  <si>
    <t>Florek, Justyna; Negoro, Masaki; Hu, Yimu; Kanamori, Kazuyoshi; Nakanishi, Kazuki; Kleitz, Freddy</t>
  </si>
  <si>
    <t>The Role of Nanoporous Adsorbents in the Circular Economy-Closing the Loop of Critical Materials Recovery</t>
  </si>
  <si>
    <t>ADVANCED FUNCTIONAL MATERIALS</t>
  </si>
  <si>
    <t>Due to the increase in the global population, industrialization, and the transition to climate neutrality through low-emission technologies, the pressure on critical materials (CMs) continues to grow. CMs are defined as materials with a significant risk of supply chain disruption and limited substitutability. In this context, rare-earth elements, platinum group metals, lithium, and cobalt are particularly crucial for the shift to carbon-free economy and sustainability. One of the important strategies to endorse the goal of carbon reduction is to promote the recycling of resources. As a solution, effective recovery strategies have been developed, such as solid-phase separation technologies based on advanced functional sorbents. This perspective article aims to provide a general assessment of the role of porous materials in closing the loop of critical materials recycling. Here, comprehensive insights are provided into recent development, design, and application of porous adsorbents commonly applied in solid-phase extraction systems. Their current research status and problems related to their future application are also highlighted. This review covers recent advances in porous and hierarchical silica-based materials, aerogels, covalent organic frameworks, metal-organic frameworks, and carbon-based adsorbents.</t>
  </si>
  <si>
    <t>[Florek, Justyna; Kleitz, Freddy] Univ Vienna, Fac Chem, Dept Funct Mat &amp; Catalysis, Wahringer Str 42, A-1090 Vienna, Austria; [Negoro, Masaki; Kanamori, Kazuyoshi] Kyoto Univ, Dept Chem, Grad Sch Sci, Kyoto 6068502, Japan; [Hu, Yimu] Adv Energy Minerals Technol Inc, 7220 Rue Frederick Banting, Montreal, PQ H4S 2A1, Canada; [Nakanishi, Kazuki] Kyoto Univ, Inst Integrated Cell Mat Sci, Kyoto Univ Inst Adv Study, Kyoto 6068501, Japan; [Nakanishi, Kazuki] Nagoya Univ, Inst Mat &amp; Syst Sustainabil, Furo Cho, Nagoya, Aichi 4648601, Japan</t>
  </si>
  <si>
    <t>Florek, J (corresponding author), Univ Vienna, Fac Chem, Dept Funct Mat &amp; Catalysis, Wahringer Str 42, A-1090 Vienna, Austria.</t>
  </si>
  <si>
    <t>justyna.florek@univie.ac.at</t>
  </si>
  <si>
    <t>10.1002/adfm.202409462</t>
  </si>
  <si>
    <t>WOS:001357373000001</t>
  </si>
  <si>
    <t>Okunlola, I; Donahoe, R; Tew, K; McIntyre-Redden, M; Rodriguez, ET</t>
  </si>
  <si>
    <t>Okunlola, Ibrahim; Donahoe, Rona; Tew, Kalyn; Mcintyre-Redden, Marcella; Rodriguez, Elena Tajuelo</t>
  </si>
  <si>
    <t>Evaluation of coal-associated sediments, wastes, and AMD sludge in the Southern Appalachian Basin as feedstock materials for REE and Li recovery</t>
  </si>
  <si>
    <t>INTERNATIONAL JOURNAL OF COAL GEOLOGY</t>
  </si>
  <si>
    <t>Critical minerals (CM) such as rare earth elements (REE+) and Lithium (Li) are essential to technological innovation, energy transitions, global economic and defense security, necessitating the search for unconventional resources and efficient recovery methods to avert supply chain disruptions. This study evaluates coal-associated sediments (underclay and roof rock) and wastes from the Pennsylvanian Pottsville Formation of the Southern Appalachian Basin (SAB) as potential feedstocks for CM recovery. A total of 34 samples (15 underclays, 12 roof rocks, 5 Acid Mine Drainage (AMD) sludges, and 2 coal mining wastes) were characterized using XRD, XRF, ICP-MS, and mu-XRF analytical methods. The REE+ and Li concentrations of these materials ranged from 46.8 to 334.4 ppm and from 11.1 to 519 ppm, respectively, with one underclay sample (Hendrix 3456) yielding the highest values for both. Bulk mineralogy for all samples was dominated by aluminosilicate clay phases, particularly illite and kaolinite. All samples exhibited REYdef, rel% values &gt;26% and C-outl indices that ranged from 0.69 to 0.94, classifying their REE ore potential as Category II (Promising) as defined by Seredin and Dai (2012). Extractability tests (EPA method 3051 A) yielded low REE+ and Li recoveries, with maximum values of 3.3% and 3.6%, respectively, suggesting associations with resistant minerals like clay and phosphates. Elemental mapping indicates that REE+ is associated with phosphate, whereas statistical analysis suggests that REE+ are associated with aluminosilicates, suggesting heterogeneous associations or minimal phosphate contribution. Li also correlated positively with Al2O3, indicating an aluminosilicate host. This study highlights the potential of coal-associated sediments in the SAB.</t>
  </si>
  <si>
    <t>[Okunlola, Ibrahim; Donahoe, Rona; Tew, Kalyn] Univ Alabama, Dept Geol Sci, Tuscaloosa, AL 35487 USA; [Mcintyre-Redden, Marcella] Geol Survey Alabama, POB 869999, Tuscaloosa, AL 35486 USA; [Rodriguez, Elena Tajuelo] Oak Ridge Natl Lab, Nucl Energy &amp; Fuel Cycle Div, Oak Ridge, TN 37831 USA</t>
  </si>
  <si>
    <t>Okunlola, I (corresponding author), Univ Alabama, Dept Geol Sci, Tuscaloosa, AL 35487 USA.</t>
  </si>
  <si>
    <t>igokunlola@crimson.ua.edu</t>
  </si>
  <si>
    <t>FEB 28</t>
  </si>
  <si>
    <t>10.1016/j.coal.2026.104948</t>
  </si>
  <si>
    <t>WOS:001684485500001</t>
  </si>
  <si>
    <t>Krane, J; Idel, R</t>
  </si>
  <si>
    <t>Krane, Jim; Idel, Robert</t>
  </si>
  <si>
    <t>More transitions, less risk: How renewable energy reduces risks from mining, trade and political dependence</t>
  </si>
  <si>
    <t>The transition from fossil fuels to renewable energy systems involves enormous decreases in materials, mining, and political risk. Since renewable systems need no fuel, they depend on trade only for the acquisition of materials and components during construction. Once the system is operating, no trade is required to sustain it. Therefore renewable energy production is not exposed to the political risks that plague fossil fuel production and shipments, such as interdiction, embargo, civil war, labor actions, and other disruptions. Despite such benefits, an emerging perspective in the US public discourse makes the opposite case, arguing that a buildout of renewable electricity would exacerbate supply risks, mining intensity, and import dependence. This paper's findings challenge such assertions. We demonstrate that installing just 1 GW of wind capacity to replace coal on a grid like that in Texas reduces total mining by 25 million tonnes over 20 years. Even if the world increased 12-fold the annual global production of all rare earths, lithium, cobalt, and even copper, the metals produced would comprise just 3% of 2020 world coal production. Over two decades, five times more power would be produced by mining an equivalent amount for wind rather than coal. Since transition materials requirements are so comparatively small, reduced international trade volumes mean a large measure of political risk falls away. Current practices for securing energy systems that require constant fuel deliveries thus offer little relevance for renewables.</t>
  </si>
  <si>
    <t>[Krane, Jim; Idel, Robert] Baker Inst Ctr Energy Studies, Houston, TX 77005 USA</t>
  </si>
  <si>
    <t>Krane, J (corresponding author), Baker Inst Ctr Energy Studies, Houston, TX 77005 USA.</t>
  </si>
  <si>
    <t>jkrane@rice.edu</t>
  </si>
  <si>
    <t>10.1016/j.erss.2021.102311</t>
  </si>
  <si>
    <t>SEP 2021</t>
  </si>
  <si>
    <t>WOS:000722894900003</t>
  </si>
  <si>
    <t>Lei, Q; Yang, JW; Si, JY; Zhao, YX; Ren, ZG; Zhang, W; Li, HT; Wu, ZZ; Sun, YH; Chen, JG; Wen, W; Wang, Y; Gao, Y; Li, XL; Tai, RZ; Zhu, DM</t>
  </si>
  <si>
    <t>Lei, Qi; Yang, Junwei; Si, Jingying; Zhao, Yuanxin; Ren, Zhiguo; Zhang, Wei; Li, Haitao; Wu, Zezhou; Sun, Yuanhe; Chen, Jige; Wen, Wen; Wang, Yong; Gao, Yi; Li, Xiaolong; Tai, Renzhong; Zhu, Daming</t>
  </si>
  <si>
    <t>Unravelling Twin Topotactic/Nontopotactic Reactive TiSe2 Cathodes for Aqueous Batteries</t>
  </si>
  <si>
    <t>ADVANCED MATERIALS</t>
  </si>
  <si>
    <t>Titanium selenide (TiSe2), a model transition metal chalcogenide material, typically relies on topotactic ion intercalation/deintercalation to achieve stable ion storage with minimal disruption of the transport pathways but has restricted capacity (&lt;130 mAh g(-1)). Developing novel energy storage mechanisms beyond conventional intercalation to break capacity limits in TiSe2 cathodes is essential yet challenging. Herein, the ion storage properties of TiSe2 are revisited and an unusual thermodynamically stable twin topotactic/nontopotactic Cu2+ accommodation mechanism for aqueous batteries is unraveled. In situ synchrotron X-ray diffraction and ex situ microscopy jointly demonstrated that topotactic intercalation sustained the ion transport framework, nontopotactic conversion involved localized multielectron reactions, and these two parallel reactions are miraculously intertwined in nanoscale space. Comprehensive experimental and theoretical results suggested that the twin-reaction mechanism significantly improved the electron transfer ability, and the reserved intercalated TiSe2 structure anchored the reduced titanium monomers with high affinity and promoted efficient charge transfer to synergistically enhance the capacity and reversibility. Consequently, TiSe2 nanoflake cathodes delivered a never-before-achieved capacity of 275.9 mAh g(-1) at 0.1 A g(-1), 93.5% capacity retention over 1000 cycles, and endow hybrid batteries (TiSe2-Cu||Zn) with a stable energy supply of 181.34 Wh kg(-1) at 2339.81 W kg(-1), offering a promising model for aqueous ion storage.</t>
  </si>
  <si>
    <t>[Lei, Qi; Si, Jingying; Zhao, Yuanxin; Ren, Zhiguo; Zhang, Wei; Li, Haitao; Wu, Zezhou; Sun, Yuanhe; Chen, Jige; Wen, Wen; Wang, Yong; Gao, Yi; Li, Xiaolong; Tai, Renzhong; Zhu, Daming] Chinese Acad Sci, Shanghai Adv Res Inst, Shanghai Synchrotron Radiat Facil, Shanghai 201204, Peoples R China; [Yang, Junwei] Shanghai Dianji Univ, Sch Arts &amp; Sci, Shanghai 201306, Peoples R China; [Gao, Yi; Li, Xiaolong; Tai, Renzhong; Zhu, Daming] Chinese Acad Sci, Shanghai Inst Appl Phys, Shanghai 201800, Peoples R China</t>
  </si>
  <si>
    <t>Sun, YH; Wang, Y; Zhu, DM (corresponding author), Chinese Acad Sci, Shanghai Adv Res Inst, Shanghai Synchrotron Radiat Facil, Shanghai 201204, Peoples R China.;Zhu, DM (corresponding author), Chinese Acad Sci, Shanghai Inst Appl Phys, Shanghai 201800, Peoples R China.</t>
  </si>
  <si>
    <t>sunyuanhe@sari.ac.cn; wangyong@sari.ac.cn; zhudm@sari.ac.cn</t>
  </si>
  <si>
    <t>10.1002/adma.202306810</t>
  </si>
  <si>
    <t>WOS:001107502000001</t>
  </si>
  <si>
    <t>Lin, J; Li, X; Chen, W; Wang, MX</t>
  </si>
  <si>
    <t>Lin, Jing; Li, Xin; Chen, Wu; Wang, Minxi</t>
  </si>
  <si>
    <t>Mapping the upstream journey of China?s indium: A trade-linked substance flow analysis</t>
  </si>
  <si>
    <t>As a metal raw material for developing emerging industries, many countries have increased the competition and storage of indium. As the country with the largest reserves and supply of indium resources, China's indium supply affects the development of global emerging industries. The current study of indium upstream of the chain is not comprehensive enough, ignoring some objects and the interaction between China and the rest of the world (RoW) in trade. This study establishes a trade-linked substance flow analysis (SFA) framework to explore the sources, pathways, and destinations of China's indium in the upstream flow of the industrial chain. The results indicate that from 2000 to 2019, in addition to the 21,335 tons mined domestically, 3603 tons of indium were brought to China through concentrates import. Faced with the input of so many resources, nearly 20,000 tons of indium flowed into the landfill, and 2526 tons of refined indium flowed into the stock because of the low recovery rate and insufficient downstream consumption. The accumulation of refined indium, disruption of indium refineries and manufacturers, and the dependence of foreign markets on China's low-priced refined indium have resulted in half of the refined indium produced being exported to developed countries. The production bottleneck of high-purity indium makes manufacturers import high-purity indium from these developed countries at high prices. The trade of indium metal causes the loss of resources and capital in China. This study implies that strengthening cooperation between indium refineries and manufacturers, breaking technical barriers, and increasing recovery rates can promote the sustainable development of indium resources in China and the RoW from the perspective of trade links.</t>
  </si>
  <si>
    <t>[Lin, Jing; Li, Xin; Wang, Minxi] Chengdu Univ Technol, Coll Management Sci, Chengdu 610059, Peoples R China; [Chen, Wu] Univ Southern Denmark, Dept Green Technol, SDU Life Cycle Engn, DK-5230 Odense, Denmark</t>
  </si>
  <si>
    <t>Wang, MX (corresponding author), Chengdu Univ Technol, Coll Management Sci, Chengdu 610059, Peoples R China.</t>
  </si>
  <si>
    <t>jeanreen@stu.cdut.edu.cn; lixin2012@cdut.cn; wuc@igt.sdu.dk; wangminxi@cdut.edu.cn</t>
  </si>
  <si>
    <t>DEC 20</t>
  </si>
  <si>
    <t>10.1016/j.jclepro.2022.135051</t>
  </si>
  <si>
    <t>NOV 2022</t>
  </si>
  <si>
    <t>WOS:000892628100004</t>
  </si>
  <si>
    <t>de Koning, A; Kleijn, R; Huppes, G; Sprecher, B; van Engelen, G; Tukker, A</t>
  </si>
  <si>
    <t>de Koning, Arjan; Kleijn, Rene; Huppes, Gjalt; Sprecher, Benjamin; van Engelen, Guus; Tukker, Arnold</t>
  </si>
  <si>
    <t>Metal supply constraints for a low-carbon economy?</t>
  </si>
  <si>
    <t>Low-carbon energy systems are more metal-intensive than traditional energy systems. Concerns have been expressed that this may hamper the transition to a low-carbon economy. We estimate the required extraction of Fe, Al, Cu, Ni, Cr, In, Nd, Dy, Li, Zn, and Pb until 2050 under several technology-specific low-carbon scenarios. Annual metal demand for the electricity and road transportation systems may rise dramatically for indium, neodymium, dysprosium, and lithium, by factors of more than three orders of magnitude. However, in the base year 2000 the dominant uses were often in other sectors. Since growth in these other, previously dominant sectors has been less pronounced, the overall growth in society's metal needs is much less dramatic than in the electricity and transportation sectors. Total annual demand for the researched metals would rise by a factor of 3-4.5, corresponding to compound growth rates of between 2% and 3%. Such growth rates are similar or lower compared with historical growth rate levels over the last few decades. Prolonged higher levels have existed for copper, for example, with production rising by 8% per year from 1992 to 2006. Yet this state of affairs does not give cause for complacency. The richest resources may have been used, production is showing a tendency towards becoming very large-scale, and development times have increased, all leading to greater risks of disruption. It is therefore crucial, when developing specific technologies, that the resource-specific constraints are analyzed and options for substitution are developed where risks are high.</t>
  </si>
  <si>
    <t>[de Koning, Arjan; Kleijn, Rene; Huppes, Gjalt; Sprecher, Benjamin; van Engelen, Guus; Tukker, Arnold] Leiden Univ, Inst Environm Sci CML, Leiden, Netherlands; [Tukker, Arnold] Netherlands Org Appl Sci Res TNO, Delft, Netherlands; [van Engelen, Guus] Newpublic, Utrechtseweg 93, NL-3818 EC Amersfoort, Netherlands</t>
  </si>
  <si>
    <t>de Koning, A (corresponding author), Leiden Univ, Inst Environm Sci CML, Leiden, Netherlands.</t>
  </si>
  <si>
    <t>koning@cml.leidenuniv.nl</t>
  </si>
  <si>
    <t>10.1016/j.resconrec.2017.10.040</t>
  </si>
  <si>
    <t>WOS:000419417300021</t>
  </si>
  <si>
    <t>Ochoa, AAV; Dutra, JCC; Henríquez, JRG; dos Santos, CAC</t>
  </si>
  <si>
    <t>Ochoa, A. A. V.; Dutra, J. C. C.; Henriquez, J. R. G.; dos Santos, C. A. C.</t>
  </si>
  <si>
    <t>Dynamic study of a single effect absorption chiller using the pair LiBr/H2O</t>
  </si>
  <si>
    <t>ENERGY CONVERSION AND MANAGEMENT</t>
  </si>
  <si>
    <t>This paper sets out to make a dynamic analysis of a single-effect, lithium bromide-water (LiBr/H2O) absorption chiller. A mathematical model has been developed based on conserving mass, energy, and species, which considers the correlations of the convective coefficients of absorption refrigeration processes so as to determine the overall heat transfer coefficients of the heat exchangers of chillers. The implementation of this mathematical model was built on the Matlab platform, and resolved the system of non-linear equations by making explicit use of the finite difference method. The model has the ability to simulate and predict the behavior of internal and external parameters such as temperature, concentrations and pressures when these are subjected to disruptions in the power supply and thermal load. The largest absolute differences found when validating the model by means of the experimental numerical values in the water circuits were approximately 1.0 degrees C, 0.7 degrees C and 0.2 degrees C for hot, chilled and cold water, respectively. In terms of relative error, these divergences represent a maximum of 5% and a minimum of 0.3%. The model showed good results when subjected to disturbances in the load and power source, as it reproduced the behavior of the temperature parameters and the Coefficient of Performance (COP), in line with the comparisons made with the data provided by the manufacturer, the COP being approximately 0.7 for operating conditions. (C) 2015 Elsevier Ltd. All rights reserved.</t>
  </si>
  <si>
    <t>[Ochoa, A. A. V.] Fed Inst Technol Pernambuco, Ave Prof Luiz Freire 500, BR-50740540 Recife, PE, Brazil; [Ochoa, A. A. V.; Dutra, J. C. C.; Henriquez, J. R. G.; dos Santos, C. A. C.] Univ Fed Pernambuco, Ave Prof Moraes Rego 123, BR-50670901 Recife, PE, Brazil; [dos Santos, C. A. C.] Univ Fed Paraiba, Cidade Univ S-N, BR-58051900 Joao Pessoa, PB, Brazil</t>
  </si>
  <si>
    <t>Ochoa, AAV (corresponding author), Fed Inst Technol Pernambuco, Ave Prof Luiz Freire 500, BR-50740540 Recife, PE, Brazil.</t>
  </si>
  <si>
    <t>ochoaalvaro@recife.ifpe.edu.br</t>
  </si>
  <si>
    <t>10.1016/j.enconman.2015.11.009</t>
  </si>
  <si>
    <t>WOS:000369191300004</t>
  </si>
  <si>
    <t>Steyn, EA</t>
  </si>
  <si>
    <t>Steyn, Elizabeth A.</t>
  </si>
  <si>
    <t>A de-risking toolkit for legal practitioners: the Core Critical and Strategic Minerals Compendium</t>
  </si>
  <si>
    <t>JOURNAL OF ENERGY &amp; NATURAL RESOURCES LAW</t>
  </si>
  <si>
    <t>Over the course of the past decade, critical and strategic minerals lists have soared in popularity globally. Though nomenclature may range from critical minerals to critical raw materials, the core understanding is generally one informed by critical functionality - often linked to the energy or digital transition or to military purposes - and economic scarcity, which renders it vulnerable to supply chain disruptions. This paper develops a compendium of core critical and strategic minerals with global importance by comparing the critical and strategic minerals lists of ten jurisdictions (Australia, Canada, China, the European Union, India, Japan, the Republic of Korea, South Africa, the United Kingdom, and the United States) and collating a single list on the basis of clear majority representation. Because most mining law practitioners are not trained geologists, the paper then unpacks information that will be valuable to practitioners who encounter a given critical mineral in their practice: Where is it listed as a critical and strategic mineral? Geopolitically speaking, what does the world's security of supply look like? What are its main uses and why is it critical? How is it mined and refined, and are there any particular associated risks? What are the social and environmental impacts that are specifically associated with this mineral (as opposed to impacts broadly associated with all mining)? How easily substitutable is this commodity (given that that constitutes an economic risk to the mine)? Finally, what is the position regarding recyclability? Critical and strategic minerals vary in important ways from one another. The careful practitioner will want to derisk critical and strategic mineral projects in a targeted manner, mindful of the characteristics of the commodity at hand. Thus a rare earths project raises different considerations than a lithium one. Bespoke contracts require insight into the characteristics of critical and strategic minerals, as outlined in the Core Critical and Strategic Minerals Compendium.</t>
  </si>
  <si>
    <t>[Steyn, Elizabeth A.] Univ Calgary, Fac Law, Calgary, AB, Canada</t>
  </si>
  <si>
    <t>Steyn, EA (corresponding author), Univ Calgary, Fac Law, Calgary, AB, Canada.</t>
  </si>
  <si>
    <t>elizabeth.steyn@ucalgary.ca</t>
  </si>
  <si>
    <t>OCT 1</t>
  </si>
  <si>
    <t>10.1080/02646811.2024.2399409</t>
  </si>
  <si>
    <t>WOS:001325326500001</t>
  </si>
  <si>
    <t>Yan, S; Cui, YL; Cheng, YM; Cai, YF; Li, WQ; Hong, JL; Zhao, YL; Li, JB; Yang, X; Sun, T; Yu, JH; Zhang, XK; Zhang, H; Yuan, YL; Xu, JB; Huang, SY; Gan, RP</t>
  </si>
  <si>
    <t>Yan, Song; Cui, Yinliang; Cheng, Yunmao; Cai, Yuanfeng; Li, Weiqing; Hong, Jianlei; Zhao, Yanlin; Li, Jiangbo; Yang, Xu; Sun, Tao; Yu, Jinhai; Zhang, Xiaoke; Zhang, He; Yuan, Yuli; Xu, Jingbo; Huang, Siyi; Gan, Ruping</t>
  </si>
  <si>
    <t>Occurrence State of Lithium in Clay Minerals Based on Element-Complexation Mechanisms</t>
  </si>
  <si>
    <t>LANGMUIR</t>
  </si>
  <si>
    <t>Lithium (Li) is a cornerstone of green technology in reducing carbon emissions. However, conventional Li mining faces potential supply chain disruptions by 2030, underscoring the urgency of exploring clay-type Li deposits with poorly understood occurrence states and extraction mechanisms. This study investigates a drill core from central Yunnan to elucidate the modes of Li occurrence and the genetic mechanisms. The claystone is primarily composed of cookeite, diaspore, and anatase, exhibiting a world-class Li grade of up to 1.94 wt % in whole rock. The occurrence state of Li is constrained by using X-ray photoelectron spectroscopy (XPS), nuclear magnetic resonance (NMR), and time-of-flight secondary ion mass spectrometry (TOF-SIMS) analyses. Fitted XPS Li 1s peaks in samples AN 1.62 and AN 1.58 at 57.0, 56.3, 55.9, and 55.4 eV and 57.2, 56.6, 56.0, and 55.3 eV, respectively, suggest Li occurrence on surfaces, within pseudohexagonal cavities, and in the lattice, forming LiCl, Li2O, LiF, and LiOH species. The 7Li NMR chemical shift at -0.7 ppm indicates that Li predominantly resides in the lattice, while the asymmetry and positive skew of the peaks suggest the coexistence of surficial and structural Li. The genetic mechanisms of these Lis likely involve isomorphic substitution within tetrahedral Al-Si and octahedral Fe/Mg-Al sites. The presence of Al/Mg/Fe-F complexes and F-Li species further suggests the structural Li incorporation. Li exhibits coupled enrichment with Al, Mg, and Fe in cookeite but is decoupled from Al in the diaspore. TOF-SIMS three-dimensional (3D) reconstruction reveals that Li is predominantly concentrated in the O2 sheets of cookeite's TO1T-O2-TO1T structure. Stepwise leaching experiments further constrain Li occurrence, demonstrating that most Li is hosted within the lattice. Calcination at 400 degrees C promotes Li incorporation into the lattice, while subsequent treatment at 600 degrees C-200 degrees C (H2SO4) or 200 degrees C (concentrated H2SO4) effectively mobilizes Li, particularly in sample AN 1.58, achieving nearly complete extraction.</t>
  </si>
  <si>
    <t>[Yan, Song; Cai, Yuanfeng; Sun, Tao; Yu, Jinhai; Zhang, He; Yuan, Yuli; Xu, Jingbo; Huang, Siyi; Gan, Ruping] Nanjing Univ, Sch Earth &amp; Engn, State Key Lab Crit Earth Mat Cycling &amp; Mineral Dep, Nanjing 210023, Jiangsu, Peoples R China; [Cui, Yinliang; Cheng, Yunmao; Li, Weiqing; Hong, Jianlei; Zhao, Yanlin; Li, Jiangbo; Yang, Xu] Southwest Nonferrous Kunming Explorat Surveying &amp;, Kunming 650201, Yunan, Peoples R China; [Zhang, Xiaoke] Roentgen Lab, Shanghai 201600, Peoples R China</t>
  </si>
  <si>
    <t>Cai, YF (corresponding author), Nanjing Univ, Sch Earth &amp; Engn, State Key Lab Crit Earth Mat Cycling &amp; Mineral Dep, Nanjing 210023, Jiangsu, Peoples R China.;Cheng, YM (corresponding author), Southwest Nonferrous Kunming Explorat Surveying &amp;, Kunming 650201, Yunan, Peoples R China.</t>
  </si>
  <si>
    <t>3142096@163.com; caiyf@nju.edu.cn</t>
  </si>
  <si>
    <t>NOV 4</t>
  </si>
  <si>
    <t>10.1021/acs.langmuir.5c01735</t>
  </si>
  <si>
    <t>WOS:001600355200001</t>
  </si>
  <si>
    <t>Lorenc, S; Podobinska-Staniec, M; Wiktor-Sulkowska, A; Kustra, A</t>
  </si>
  <si>
    <t>Lorenc, Sylwia; Podobinska-Staniec, Marta; Wiktor-Sulkowska, Anna; Kustra, Arkadiusz</t>
  </si>
  <si>
    <t>Value Chains in the Raw Materials Industry - the Example of the Cobalt Value Chain</t>
  </si>
  <si>
    <t>The global development of electromobility and the innovation of life are becoming increasingly noticeable. A direct implication of this is the increase in demand for modern products and services, their components and thus the raw materials necessary to produce them (e.g. cobalt, lithium, rare earth metals). In the European Union (EU), raw materials related to strategic sectors - renewable energy, electric mobility, defense and aerospace and digital technologies - show a very strong dependence on import throughout the entire value chain. In the case of eleven out of thirty of the so-called critical raw materials (CRM), necessary for the energy transition, the EU's dependence on import exceeds 85%. Global supply chains, which had already been strained, were further affected by the COVID-19 pandemic and the exacerbated geopolitical situations leading to even greater shortages of critical raw materials in Europe and leaving the industry facing challenges in securing access to resources. An implication of this was the European Parliament's position on critical raw material legislation in September 2023, which called on the EU to increase its processing capacity across the value chain and enable the production of at least 40% of the annual consumption of strategic raw materials by 2030. Growing importance in the transition to a low -emission economy is attributed to cobalt (Co), which is an essential component both in the production of electric vehicles (EV), stationary energy storage and in the developing sectors of wind energy, fuel cell systems and hydrogen storage technologies, robotics, unmanned vehicles (drones) and 3D printing as well as in digital technologies. Securing the supply of such raw material is crucial for the European Union's economic resilience, technological advantage and strategic autonomy. The purpose of this article is to present and analyze the concept of value chains as strategic models of long-term development and ensuring efficiency from a sustainable perspective. According to the authors, a detailed analysis of value chains may enable defining strategic directions of action and identifying the risks of their disruption or interruption. To give a practical dimension to the presented analyses, the example of the cobalt value chain is provided and the determinants of its functioning on the current market along with development prospects are indicated.</t>
  </si>
  <si>
    <t>[Lorenc, Sylwia; Podobinska-Staniec, Marta; Wiktor-Sulkowska, Anna; Kustra, Arkadiusz] AGH Univ Krakow, Krakow, Poland</t>
  </si>
  <si>
    <t>Lorenc, S (corresponding author), AGH Univ Krakow, Krakow, Poland.</t>
  </si>
  <si>
    <t>slorenc@agh.edu.pl; mstaniec@agh.edu.pl; wiktor@agh.edu.pl; kustra@agh.edu.pl</t>
  </si>
  <si>
    <t>10.24425/gsm.2024.149302</t>
  </si>
  <si>
    <t>WOS:001194970700004</t>
  </si>
  <si>
    <t>Qiao, DH; Ma, YL; Bao, YH; Hong, Y; Batunacun; Narenmandula; Dai, T</t>
  </si>
  <si>
    <t>Qiao, Donghai; Ma, Yanling; Bao, Yuhai; Hong, Ying; Batunacun; Narenmandula; Dai, Tao</t>
  </si>
  <si>
    <t>Exploring the potential impact of electric passenger vehicle battery recycling on China's cobalt supply and demand under the goals of carbon peaking and carbon neutrality during 2010-2060</t>
  </si>
  <si>
    <t>Automobile electrification is a viable strategy in China for achieving carbon neutrality goals. Presently, lithiumion batteries (LIBs) are extensively utilized in consumer electronics. If power LIB-equipped electric vehicles (EVs) deeply penetrate the automotive market, the recovery of cobalt from end-of-life batteries will largely impact the future availability of this resource. However, the contribution of battery recycling to cobalt availability is unclear, as the possibility of recovering cobalt for reuse in manufacturing is uncertain. We adopted prospective dynamic macro material flow analysis methods in this study based on stock-driven models to explore cobalt demand trends for the widespread deployment of EVs and the potential impact of battery recycling on cobalt supply and demand, thereby examining the cobalt cycle in China's anthroposphere during the period of 2010-2060. The results demonstrate that if the quality of recovered cobalt is not high enough to be reused in battery manufacturing, the recovered cobalt may result in a serious potential oversupply of secondary materials. The first year of such an oversupply would occur sometime between 2034 and 2057, and the cumulative oversupply of recovered cobalt during the period of 2031 and 2060 is projected to be fall within 0.012-3.30 million tons, depending on battery type, recovery rate (RR) and electrification scenario. Moreover, the supplydemand gap has the potential to reach 0.19 to 0.55 million tons by 2060. An explosive growth in total cobalt demand would inevitably drive a faster increase in virgin cobalt material imports or the exploitation of large quantities of cobalt, thus resulting in potential supply disruptions and restricting the sustainable utilization of this resource. Conversely, if the quality of recovered cobalt remains intact, it would meet 25.4%-66.9% of the cumulative cobalt inflows for EV battery manufacturing between 2010 and 2060, depending on the RRs and electrification scenarios. Consequently, the rapid development of cost-efficient closed-loop battery recycling methods through timely improvements in recycling infrastructure, industrial policies, recycling systems, and clean production of entire battery recycling chains is imperative. Uncertainty analysis indicates that changes in battery lifespan and battery capacity only slightly influence cobalt material flows, whereas variations in vehicle ownership and population development have more obvious effects. These findings can serve as a scientific reference for the formulation of targeted industrial policies for EVs and batteries and the development of costeffective and efficient recycling systems and technologies, thus facilitating the sustainable management of EVs and batteries in China, as well as driving high-quality cobalt recycling.</t>
  </si>
  <si>
    <t>[Qiao, Donghai; Bao, Yuhai; Hong, Ying; Batunacun; Narenmandula] Inner Mongolia Normal Univ, Coll Geog Sci, Hohhot 010022, Inner Mongolia, Peoples R China; [Qiao, Donghai] Inner Mongolia Normal Univ, Prov Key Lab Mongolian Plateaus Climate Syst, Hohhot 010022, Peoples R China; [Ma, Yanling] Inner Mongolia Normal Univ, Coll Life Sci &amp; Technol, Hohhot 010022, Inner Mongolia, Peoples R China; [Dai, Tao] CAGS, Inst Mineral Resources, Res Ctr Strategy Global Mineral Resources, Beijing 100037, Peoples R China</t>
  </si>
  <si>
    <t>Qiao, DH (corresponding author), Inner Mongolia Normal Univ, Coll Geog Sci, Hohhot 010022, Inner Mongolia, Peoples R China.;Ma, YL (corresponding author), Inner Mongolia Normal Univ, Coll Life Sci &amp; Technol, Hohhot 010022, Inner Mongolia, Peoples R China.</t>
  </si>
  <si>
    <t>donghaiqiao2021@126.com; 1095951788@qq.com</t>
  </si>
  <si>
    <t>MAR 10</t>
  </si>
  <si>
    <t>10.1016/j.jclepro.2024.141139</t>
  </si>
  <si>
    <t>FEB 2024</t>
  </si>
  <si>
    <t>WOS:001200388300001</t>
  </si>
  <si>
    <t>Whitworth, AJ; Vaughan, J; Southam, G; Van der Ent, A; Nkrumah, PN; Ma, XD; Parbhakar-Fox, A</t>
  </si>
  <si>
    <t>Whitworth, Anne J.; Vaughan, James; Southam, Gordon; van der Ent, Antony; Nkrumah, Philip N.; Ma, Xiaodong; Parbhakar-Fox, Anita</t>
  </si>
  <si>
    <t>Review on metal extraction technologies suitable for critical metal recovery from mining and processing wastes</t>
  </si>
  <si>
    <t>The transition to low-carbon economies, advancements in high-tech and rapid uptake of electronic equipment will see increased demand over the coming decades for so-called critical  metals: metals considered important to society and that are vulnerable to supply disruption. Consequently, there is now a global drive to find and develop critical metal resources. Significant concentrations of critical metals have reported to mining and pro-cessing wastes over time due to a range of factors, including unfavourable economics and unsuitable processing infrastructure. With expanding scope and scale of markets, mining and processing wastes now represent a largely un-tapped resource of critical metals. The reclamation of critical metals from solid mining and processing wastes involves mineral processing, metal extraction, and metal recovery. Metal extraction involves the separation of metals from a metal-bearing material using chemical reactions. Metal extraction from solid mining and pro-cessing wastes largely relies on established processing techniques. However, the overall process configuration can differ greatly from conventional primary production methods, and there is often an opportunity to streamline the reprocessing of wastes where the original production process has already done some of the required physical or chemical work. This review provides an overview of seven technologies: atmospheric leaching, pressure leaching, bioleaching, resin-in-pulp, pyrometallurgy, phytomining and solvometallurgy, that are suitable for extracting specific critical metals from solid mining and processing wastes. Eleven critical metals are considered in this review: cobalt, gallium, germanium, indium, lithium, nickel, rhenium, tellurium, tin, tungsten, and va-nadium. The approaches discussed are important for the extraction of critical metals from mining and processing wastes now and into the future.</t>
  </si>
  <si>
    <t>[Whitworth, Anne J.; Parbhakar-Fox, Anita] Univ Queensland, Sustainable Minerals Inst, WH Bryan Min &amp; Geol Res Ctr, Brisbane, Qld, Australia; [Vaughan, James] Univ Queensland, Sch Chem Engn, Brisbane, Qld, Australia; [Southam, Gordon] Univ Queensland, Sch Earth &amp; Environm Sci, Brisbane, Qld, Australia; [van der Ent, Antony; Nkrumah, Philip N.] Univ Queensland, Ctr Mined Land Rehabil, Sustainable Minerals Inst, Brisbane, Qld, Australia; [Ma, Xiaodong] Univ Queensland, Julius Kruttschnitt Mineral Res Ctr, Sustainable Minerals Inst, Brisbane, Qld, Australia; [Whitworth, Anne J.] Earth Syst, 14 Church St, Hawthorn, Vic, Australia</t>
  </si>
  <si>
    <t>Whitworth, AJ (corresponding author), Earth Syst, 14 Church St, Hawthorn, Vic, Australia.</t>
  </si>
  <si>
    <t>anne.whitworth@earthsystems.com.au</t>
  </si>
  <si>
    <t>MAY 31</t>
  </si>
  <si>
    <t>10.1016/j.mineng.2022.107537</t>
  </si>
  <si>
    <t>APR 2022</t>
  </si>
  <si>
    <t>WOS:000793661100010</t>
  </si>
  <si>
    <t>Dobran, F</t>
  </si>
  <si>
    <t>Dobran, Flavio</t>
  </si>
  <si>
    <t>Fusion energy conversion in magnetically confined plasma reactors</t>
  </si>
  <si>
    <t>PROGRESS IN NUCLEAR ENERGY</t>
  </si>
  <si>
    <t>One of the most pressing problems of this century is to solve the energy supply problem and in particular the development of fusion energy technology. Fusion powers the Sun and stars, but on Earth is difficult to achieve in a controlled manner. The International Thermonuclear Experimental Reactor (ITER) is the most technologically advanced machine where net energy from fusion is envisaged to be produced. But this will not be easy, since there are still open issues of plasma confinement, reactor materials, fuel supply, and heat removal. Efficient conversion of fusion energy into the thermal energy in a thermonuclear reactor is, therefore, of great technological relevance and in this paper the energy conversion in magnetically confined plasma reactors is addressed. The chamber wall surrounding the plasma is built from the plasma facing components and from the blanket and divertor modules where the fusion energy is converted into the thermal energy, tritium is produced, and the external components of the chamber are shielded from radiation. The useful materials for building the chamber wall components are low neutron activation steels, refractory metal alloys, and carbon fibre and silicon carbide reinforced composites. The suitable coolants of these components are high pressure helium gas and lithium-based liquid metals and molten salts, where the latter can also serve as tritium breeders. Some of these components will be tested in ITER and eventually may be employed for building demonstration fusion power plants envisaged to become operational during the second half of this century. High performance fusion energy conversion concepts being investigated include: Solid and liquid breeder blankets, separately cooled blankets and tritium breeders, high velocity helium jets for cooling plasma facing components, liquid metals flowing along the solid and through the porous metal walls facing the plasma, liquid metals and molten salts flowing through electrically insulated and non-insulated channels of blankets, and liquid metal heat pipes incorporated into the blankets and divertors for augmenting heat removal and achieving high thermal energy conversion efficiencies. The current fusion-to-thermal energy conversion technologies are, however, in an early stage of development and require reduced-activation, long life operation at high temperatures, resistance to plasma disruptions, and low fusion fuel retention materials, and innovative tritium breeding and heat removal concepts for building simple, reliable, safe, and efficient fusion energy technology. (c) 2012 Elsevier Ltd. All rights reserved.</t>
  </si>
  <si>
    <t>Hofstra Univ, Dept Engn, Hempstead, NY 11549 USA</t>
  </si>
  <si>
    <t>Dobran, F (corresponding author), Hofstra Univ, Dept Engn, Weed Hall, Hempstead, NY 11549 USA.</t>
  </si>
  <si>
    <t>dobran@westnet.com</t>
  </si>
  <si>
    <t>10.1016/j.pnucene.2012.05.008</t>
  </si>
  <si>
    <t>WOS:000308386700011</t>
  </si>
  <si>
    <t>Gür, TM</t>
  </si>
  <si>
    <t>Gur, Turgut M.</t>
  </si>
  <si>
    <t>Review of electrical energy storage technologies, materials and systems: challenges and prospects for large-scale grid storage</t>
  </si>
  <si>
    <t>ENERGY &amp; ENVIRONMENTAL SCIENCE</t>
  </si>
  <si>
    <t>Increased interest in electrical energy storage is in large part driven by the explosive growth in intermittent renewable sources such as wind and solar as well as the global drive towards decarbonizing the energy economy. However, the existing electrical grid systems in place globally are not equipped to handle mass scale integration of intermittent energy sources without serious disruptions to the grid. It is generally agreed that more than 20% penetration from intermittent renewables can greatly destabilize the grid system. Certainly, large-scale electrical energy storage systems may alleviate many of the inherent inefficiencies and deficiencies in the grid system, and help improve grid reliability, facilitate full integration of intermittent renewable sources, and effectively manage power generation. Electrical energy storage offers two other important advantages. First, it decouples electricity generation from the load or electricity user, thus making it easier to regulate supply and demand. Second, it allows distributed storage opportunities for local grids, or microgrids, which greatly improve grid security, and hence, energy security. Currently, there is only 170 GW of installed storage capacity around the world, but more than 96% is provided by pumped-hydro, which is site-constrained and not available widely. Hence, a battery of technologies is needed to fully address the widely varying needs for large-scale electrical storage. The focus of this article is to provide a comprehensive review of a broad portfolio of electrical energy storage technologies, materials and systems, and present recent advances and progress as well as challenges yet to overcome. The article discusses the status and options for mechanical, thermal, electrochemical, and chemical storage. Where appropriate, it also provides tutorial level background information on fundamental principles for the interested non-expert. It is hoped that this article is of interest to the uninitiated as well as active scientists and engineers engaged in energy storage technologies, with particular focus on large-scale electrical energy storage.</t>
  </si>
  <si>
    <t>[Gur, Turgut M.] Stanford Univ, Dept Mat Sci &amp; Engn, Stanford, CA 94305 USA</t>
  </si>
  <si>
    <t>Gür, TM (corresponding author), Stanford Univ, Dept Mat Sci &amp; Engn, Stanford, CA 94305 USA.</t>
  </si>
  <si>
    <t>turgut.gur@stanford.edu</t>
  </si>
  <si>
    <t>10.1039/c8ee01419a</t>
  </si>
  <si>
    <t>WOS:000448339100002</t>
  </si>
  <si>
    <t>Sechin, II</t>
  </si>
  <si>
    <t>Sechin, Igor I.</t>
  </si>
  <si>
    <t>ALTERNATIVES OF GLOBAL ENERGY: TRANSFORMATIONAL TRENDS AND RISKS</t>
  </si>
  <si>
    <t>MIROVAYA EKONOMIKA I MEZHDUNARODNYE OTNOSHENIYA</t>
  </si>
  <si>
    <t>The article contributes to the literature in three main areas. First, new tendencies and challenges of development of world economy and energy caused by the crisis induced by the COVID-19 pandemic are revealed, including: the regionalization of markets that creates additional basis for development of multipolar world; the aggravating instability of the alternative energy; the rising risks of disruption of long-term stability of oil supplies due to the under investment and risks of sharp oil and gas shortage; the tendency to the consolidation and enlargement of producers in oil and gas sectors, what is also increasingly possible in the Russian oil and gas industry. Second, perspectives of green energy to become a basis for development of world economy are analyzed. Obstacles to continuing development of green energy are stressed, including: the necessity of extraordinary large investments in development of economically feasible technologies; the expected acute deficit of materials for energy transition, including lithium, nickel, cobalt and other metals as well as low economic efficiency of low carbon solutions placing additional burden on consumers. The thesis of urgent importance of balanced energy development and inadmissibility of relying exclusively on alternative electricity generation is advanced. Third, shifts in strategies of global investors who presently pay the increasing attention to ecological programs, investing into carbon neutrality, green rebranding and shares buyback schemes at the expense of the fundamental financial and operational indicators. Combined with cases of court interventions in corporate decision making that exerts pressure on public companies who are forced to abandon oil and gas projects. The article argues that such an optimization doesn't solve the task of global reduction of greenhouse gases emissions and achieving carbon neutrality. A tendency for issuing of new instruments and emergence of new models of investment behavior which distort the share prices is discovered. Meantime companies with state participation and private companies are less dependent on the volatile expectations in the stock market. The article also considers the issue of ecological purity of oil and concludes that introduction of transparent system of evaluation and certification of goods and services, recognized by the whole world community is expedient.</t>
  </si>
  <si>
    <t>[Sechin, Igor I.] Rosnefi Oil Co, 26-1 Sofiyskaya Emb, Moscow 117997, Russia</t>
  </si>
  <si>
    <t>Sechin, II (corresponding author), Rosnefi Oil Co, 26-1 Sofiyskaya Emb, Moscow 117997, Russia.</t>
  </si>
  <si>
    <t>postman@rosneft.ru</t>
  </si>
  <si>
    <t>10.20542/0131-2227-2021-65-10-33-44</t>
  </si>
  <si>
    <t>WOS:000716118900004</t>
  </si>
  <si>
    <t>English</t>
  </si>
  <si>
    <t>Supply disruptions; Electric vehicle lithium-ion battery supply; chain; Resilience assessment</t>
  </si>
  <si>
    <t>NETWORK; DISRUPTIONS; VISIBILITY; DIFFUSION; TOPOLOGY</t>
  </si>
  <si>
    <t>East China University of Science &amp; Technology; Shanghai Lixin University of Accounting &amp; Finance; Beijing Institute of Technology; Beijing Institute of Technology; Shanghai University of Finance &amp; Economics</t>
  </si>
  <si>
    <t>/ABE-9248-2020</t>
  </si>
  <si>
    <t>National Natural Science Foundation of China [72474069, 72403023]; National Social Science Fund of China [24ZDA026]; Shanghai Sailing Program [23YF1430000]; Humanities and Social Science Fund of Ministry of Education of the People's Republic of China [23YJC630072]</t>
  </si>
  <si>
    <t>National Natural Science Foundation of China(National Natural Science Foundation of China (NSFC)); National Social Science Fund of China(National Social Science Fund of China (NSSFC)); Shanghai Sailing Program(Shanghai Sailing Program); Humanities and Social Science Fund of Ministry of Education of the People's Republic of China</t>
  </si>
  <si>
    <t>This work was financially supported by the National Natural Science Foundation of China (No. 72474069, No. 72403023) , National Social Science Fund of China (No. 24ZDA026) , Shanghai Sailing Program (No. 23YF1430000) and Humanities and Social Science Fund of Ministry of Education of the People's Republic of China (No. 23YJC630072) .</t>
  </si>
  <si>
    <t>ELSEVIER</t>
  </si>
  <si>
    <t>AMSTERDAM</t>
  </si>
  <si>
    <t>RADARWEG 29, 1043 NX AMSTERDAM, NETHERLANDS</t>
  </si>
  <si>
    <t>0921-3449</t>
  </si>
  <si>
    <t>1879-0658</t>
  </si>
  <si>
    <t>RESOUR CONSERV RECY</t>
  </si>
  <si>
    <t>Resour. Conserv. Recycl.</t>
  </si>
  <si>
    <t>Engineering, Environmental; Environmental Sciences</t>
  </si>
  <si>
    <t>Science Citation Index Expanded (SCI-EXPANDED)</t>
  </si>
  <si>
    <t>Engineering; Environmental Sciences &amp; Ecology</t>
  </si>
  <si>
    <t>X2H9N</t>
  </si>
  <si>
    <t>Sergeev, VY; Kuteev, BV; Bykov, AS; Krylov, SV; Skokov, VG; Timokhin, VM</t>
  </si>
  <si>
    <t>Sergeev, Vladimir Yu.; Kuteev, Boris V.; Bykov, Aleksey S.; Krylov, Sergey V.; Skokov, Viacheslav G.; Timokhin, Vladimir M.</t>
  </si>
  <si>
    <t>Lithium technologies for edge plasma control</t>
  </si>
  <si>
    <t>Lithium dust injection; Rotary feeder; Impurity; Wall conditioning; Disruption</t>
  </si>
  <si>
    <t>LIMITER</t>
  </si>
  <si>
    <t>We have investigated two new modes of operation been in T-10 limiter tokamak experiments with a novel rotary feeder of lithium dust. Quasi steady-state mode I and pulse mode II of dust delivery were realized in both OH and OH + ECRH disruption free plasmas at the lithium flow rate up to 2 x 10(21) atoms/s. A higher flow rate in mode II with injection rate of similar to 5 x 10(21) atoms/s caused a series of minor disruptions, which was completed by discharge termination after the major disruption. The observed decreases of bolometer and D-beta signals, with increase of the electron density during the lithium dust injection, reveal the effects of the first wall conditioning. The lithium technology may provide inherent safety pathway for major disruption mitigation in a tokamak reactor, which requires demonstration in contemporary tokamak experiments. (C) 2011 Elsevier B.V. All rights reserved.</t>
  </si>
  <si>
    <t>[Sergeev, Vladimir Yu.; Bykov, Aleksey S.; Skokov, Viacheslav G.; Timokhin, Vladimir M.] State Polytech Univ, St Petersburg 195251, Russia; [Kuteev, Boris V.; Krylov, Sergey V.] NRC Kurchatov Inst, Moscow 123182, Russia</t>
  </si>
  <si>
    <t>Peter the Great St. Petersburg Polytechnic University; National Research Centre - Kurchatov Institute</t>
  </si>
  <si>
    <t>Timokhin, VM (corresponding author), State Polytech Univ, Polytekhnicheskaya 29, St Petersburg 195251, Russia.</t>
  </si>
  <si>
    <t>timokhih@phtf.stu.neva.ru</t>
  </si>
  <si>
    <t>Skokov, Viacheslav/P-1783-2016; Kuteev, Boris/A-8860-2017; Sergeev, Vladimir/O-9908-2015; Timokhin, Vladimir/H-6002-2016</t>
  </si>
  <si>
    <t>Skokov, Viacheslav/0000-0002-8188-1457; Skokov, Vladimir/0000-0001-7619-1796; Kuteev, Boris/0000-0002-7514-5111; Sergeev, Vladimir/0000-0002-4572-4120;</t>
  </si>
  <si>
    <t>RFBR [11-08-01221-a, 9-02-13608-ofi_c]; ISTC [3828]; Rosatom Contract [N.4b.45.03.10.1011]; Ministry of Education and Science of Russia [02.740.11.0468, 11.G34.31.0001]</t>
  </si>
  <si>
    <t>RFBR(Russian Foundation for Basic Research (RFBR)); ISTC; Rosatom Contract; Ministry of Education and Science of Russia(Ministry of Education and Science, Russian Federation)</t>
  </si>
  <si>
    <t>The study is partly supported by RFBR Grants Nos. 11-08-01221-a, 09-02-13608-ofi_c, ISTC Grant No. 3828, Rosatom Contract No. N.4b.45.03.10.1011, Contracts No. 02.740.11.0468, 11.G34.31.0001 of the Ministry of Education and Science of Russia.</t>
  </si>
  <si>
    <t>ELSEVIER SCIENCE SA</t>
  </si>
  <si>
    <t>LAUSANNE</t>
  </si>
  <si>
    <t>PO BOX 564, 1001 LAUSANNE, SWITZERLAND</t>
  </si>
  <si>
    <t>0920-3796</t>
  </si>
  <si>
    <t>FUSION ENG DES</t>
  </si>
  <si>
    <t>Fusion Eng. Des.</t>
  </si>
  <si>
    <t>10.1016/j.fusengdes.2011.10.008</t>
  </si>
  <si>
    <t>Nuclear Science &amp; Technology</t>
  </si>
  <si>
    <t>038OK</t>
  </si>
  <si>
    <t>WOS:000311183800011</t>
  </si>
  <si>
    <t>Umeda, K; Suemaru, K; Todo, N; Egashira, N; Mishima, K; Iwasaki, K; Fujiwara, M; Araki, H</t>
  </si>
  <si>
    <t>Umeda, Kenta; Suemaru, Katsuya; Todo, Nobuko; Egashira, Nobuaki; Mishima, Kenichi; Iwasaki, Katsunori; Fujiwara, Michihiro; Araki, Hiroaki</t>
  </si>
  <si>
    <t>Effects of mood stabilizers on the disruption of prepulse inhibition induced by apomorphine or dizocilpine in mice</t>
  </si>
  <si>
    <t>EUROPEAN JOURNAL OF PHARMACOLOGY</t>
  </si>
  <si>
    <t>mood stabilizers; valproate; carbamazepine; lithium; prepulse inhibition; apomorphine; dizocilpine</t>
  </si>
  <si>
    <t>ACOUSTIC STARTLE; ANIMAL-MODEL; SCHIZOPHRENIA; LITHIUM; VALPROATE; CARBAMAZEPINE; LAMOTRIGINE; DISORDER; KETAMINE; RELEASE</t>
  </si>
  <si>
    <t>The prepulse inhibition of the startle response provides an operational measure of sensorimotor gating in which a weak stimulus presented prior to a startling stimulus reduces the startle response. Prepulse inhibition deficits were observed in patients with several neuropsychiatric disorders, including schizophrenia and acute manic bipolar patients. Valproic acid, carbamazepine and lithium carbonate are frequently used as mood stabilizers in patients with bipolar affective disorder and schizophrenia. However, little is known about the mechanisms of action of mood stabilizers on prepulse inhibition deficits. In this study, we investigated the effects of mood stabilizers on the disruption of prepulse inhibition of the acoustic startle response induced by either apomorphine or dizocilpine in mice. Valproate (30-300 mg/kg, i.p.), carbamazepine (3-30 mg/kg, i.p.) and lithium carbonate (10-100 mg/kg, p.o.) had any effect on prepulse inhibition by itself. Valproate, carbamazepine and lithium carbonate reversed the disruption of prepulse inhibition induced by apornorphine (1 mg/kg, s.c.). Although valproate and carbamazepine had no effect on the disruption of prepulse inhibition induced by dizoeilpine (0.3 mg/kg, s.c.), lithium carbonate exacerbated the dizoeilpine-induced disruption. These results suggest that valproate, carbamazepine and lithium carbonate reverse the disruption of prepulse inhibition through the dopaminergic system. (c) 2006 Elsevier B.V. All rights reserved.</t>
  </si>
  <si>
    <t>Fukuoka Univ, Fac Pharmaceut Sci, Dept Neuropharmacol, Jonan Ku, Fukuoka 8140180, Japan; Matsuyama Mem Hosp, Div Pharm, Matsuyama, Ehime 7918022, Japan; Ehime Univ, Grad Sch Med, Dept Clin Pharmacol &amp; Pharm Neurosci, Toon, Ehime 7910295, Japan</t>
  </si>
  <si>
    <t>Fukuoka University; Ehime University</t>
  </si>
  <si>
    <t>Suemaru, K (corresponding author), Fukuoka Univ, Fac Pharmaceut Sci, Dept Neuropharmacol, Jonan Ku, 8-19-1 Nankuma, Fukuoka 8140180, Japan.</t>
  </si>
  <si>
    <t>suemaru@m.chime-u.ac.jp</t>
  </si>
  <si>
    <t>Egashira, Nobuaki/AAT-4183-2021</t>
  </si>
  <si>
    <t>ELSEVIER SCIENCE BV</t>
  </si>
  <si>
    <t>PO BOX 211, 1000 AE AMSTERDAM, NETHERLANDS</t>
  </si>
  <si>
    <t>0014-2999</t>
  </si>
  <si>
    <t>EUR J PHARMACOL</t>
  </si>
  <si>
    <t>Eur. J. Pharmacol.</t>
  </si>
  <si>
    <t>DEC 28</t>
  </si>
  <si>
    <t>1-3</t>
  </si>
  <si>
    <t>10.1016/j.ejphar.2006.09.050</t>
  </si>
  <si>
    <t>Pharmacology &amp; Pharmacy</t>
  </si>
  <si>
    <t>115ZP</t>
  </si>
  <si>
    <t>WOS:000242772600022</t>
  </si>
  <si>
    <t>MCCOMBS, RM; WILLIAMS, GA</t>
  </si>
  <si>
    <t>DISRUPTION OF HERPES-VIRUS NUCLEOCAPSIDS USING LITHIUM IODIDE, GUANIDINE AND MERCAPTOETHANOL</t>
  </si>
  <si>
    <t>JOURNAL OF GENERAL VIROLOGY</t>
  </si>
  <si>
    <t>Note</t>
  </si>
  <si>
    <t>BAYLOR UNIV,COLL MED,DEPT VIROL &amp; EPIDEMIOL,HOUSTON,TX 77025</t>
  </si>
  <si>
    <t>Baylor University</t>
  </si>
  <si>
    <t>SOC GENERAL MICROBIOLOGY</t>
  </si>
  <si>
    <t>READING</t>
  </si>
  <si>
    <t>MARLBOROUGH HOUSE, BASINGSTOKE RD, SPENCERS WOODS, READING, BERKS, ENGLAND RG7 1AE</t>
  </si>
  <si>
    <t>0022-1317</t>
  </si>
  <si>
    <t>J GEN VIROL</t>
  </si>
  <si>
    <t>J. Gen. Virol.</t>
  </si>
  <si>
    <t>10.1099/0022-1317-20-3-395</t>
  </si>
  <si>
    <t>Biotechnology &amp; Applied Microbiology; Virology</t>
  </si>
  <si>
    <t>Q7217</t>
  </si>
  <si>
    <t>WOS:A1973Q721700014</t>
  </si>
  <si>
    <t>GREENBERG, D; DOWDY, EE; PEACOCK, LJ</t>
  </si>
  <si>
    <t>DISRUPTION OF LITHIUM-CHLORIDE-INDUCED TASTE-AVERSION BY SUBDIAPHRAGMATIC VAGOTOMY</t>
  </si>
  <si>
    <t>BULLETIN OF THE PSYCHONOMIC SOCIETY</t>
  </si>
  <si>
    <t>UNIV GEORGIA,ATHENS,GA 30602</t>
  </si>
  <si>
    <t>University System of Georgia; University of Georgia</t>
  </si>
  <si>
    <t>PSYCHONOMIC SOC INC</t>
  </si>
  <si>
    <t>AUSTIN</t>
  </si>
  <si>
    <t>1710 FORTVIEW RD, AUSTIN, TX 78704</t>
  </si>
  <si>
    <t>0090-5054</t>
  </si>
  <si>
    <t>B PSYCHONOMIC SOC</t>
  </si>
  <si>
    <t>Psychology, Mathematical</t>
  </si>
  <si>
    <t>Social Science Citation Index (SSCI); Science Citation Index Expanded (SCI-EXPANDED)</t>
  </si>
  <si>
    <t>Psychology</t>
  </si>
  <si>
    <t>DZ147</t>
  </si>
  <si>
    <t>WOS:A1977DZ14700147</t>
  </si>
  <si>
    <t>SHEIKHA, S; BANERJI, TK</t>
  </si>
  <si>
    <t>LITHIUM - EVIDENCE FOR DISRUPTION OF ESTROUS-CYCLE IN RATS FOLLOWING CHRONIC TREATMENT</t>
  </si>
  <si>
    <t>ANATOMICAL RECORD</t>
  </si>
  <si>
    <t>UNIV TEXAS,MED BRANCH,DEPT ANAT &amp; NEOROSCI,GALVESTON,TX 77550</t>
  </si>
  <si>
    <t>University of Texas System; University of Texas Medical Branch Galveston</t>
  </si>
  <si>
    <t>WILEY-LISS</t>
  </si>
  <si>
    <t>HOBOKEN</t>
  </si>
  <si>
    <t>DIV JOHN WILEY &amp; SONS INC, 111 RIVER ST, HOBOKEN, NJ 07030 USA</t>
  </si>
  <si>
    <t>ANAT REC</t>
  </si>
  <si>
    <t>Anat. Rec.</t>
  </si>
  <si>
    <t>A124</t>
  </si>
  <si>
    <t>Anatomy &amp; Morphology</t>
  </si>
  <si>
    <t>H1806</t>
  </si>
  <si>
    <t>WOS:A1987H180600466</t>
  </si>
  <si>
    <t>Federoff, M; McCarthy, MJ; Anand, A; Berrettini, WH; Bertram, H; Bhattacharjee, A; Calkin, C; Conroy, C; Coryell, WH; D'Arcangelo, N; DeModena, A; Fisher, C; Feeder, S; Frazier, N; Frye, MA; Gao, KM; Garnham, J; Gershon, ES; Alliey-Rodriguez, N; Glazer, K; Goes, F; Karberg, T; Harrington, G; Jakobsen, P; Kamali, M; Kelly, M; Leckband, SG; Lohoff, F; Maihofer, AX; McInnis, MG; Mondimore, F; Morken, G; Nurnberger, J; Oedegaard, KJ; Ritchey, M; Ryan, K; Schinagle, M; Schoeyen, H; Schwebel, C; Shaw, M; Shilling, PD; Slaney, C; Stautland, A; Tarwater, B; Calabrese, JR; Alda, M; Nievergelt, CM; Zandi, PP; Kelsoe, JR</t>
  </si>
  <si>
    <t>Federoff, Monica; McCarthy, Michael J.; Anand, Amit; Berrettini, Wade H.; Bertram, Holli; Bhattacharjee, Abesh; Calkin, Cynthia, V; Conroy, Carla; Coryell, William H.; D'Arcangelo, Nicole; DeModena, Anna; Fisher, Carrie; Feeder, Scott; Frazier, Nicole; Frye, Mark A.; Gao, Keming; Garnham, Julie; Gershon, Elliot S.; Alliey-Rodriguez, Ney; Glazer, Kara; Goes, Fernando; Karberg, Toyomi; Harrington, Gloria; Jakobsen, Petter; Kamali, Masoud; Kelly, Marisa; Leckband, Susan G.; Lohoff, Falk; Maihofer, Adam X.; McInnis, Melvin G.; Mondimore, Francis; Morken, Gunnar; Nurnberger, John, I; Oedegaard, Ketil J.; Ritchey, Megan; Ryan, Kelly; Schinagle, Martha; Schoeyen, Helle; Schwebel, Candice; Shaw, Martha; Shilling, Paul D.; Slaney, Claire; Stautland, Andrea; Tarwater, Bruce; Calabrese, Joseph R.; Alda, Martin; Nievergelt, Caroline M.; Zandi, Peter P.; Kelsoe, John R.</t>
  </si>
  <si>
    <t>Correction of depression-associated circadian rhythm abnormalities is associated with lithium response in bipolar disorder</t>
  </si>
  <si>
    <t>BIPOLAR DISORDERS</t>
  </si>
  <si>
    <t>bipolar disorder; chronotype; circadian rhythm; lithium; sleep</t>
  </si>
  <si>
    <t>TEMPERAMENT EVALUATION; TEMPS-A; SLEEP; INDIVIDUALS; CHRONOTYPE; VALIDATION; PREFERENCE; INVENTORY; MEMPHIS; VERSION</t>
  </si>
  <si>
    <t>Background Bipolar disorder (BD) is characterized by episodes of depression and mania and disrupted circadian rhythms. Lithium is an effective therapy for BD, but only 30%-40% of patients are fully responsive. Preclinical models show that lithium alters circadian rhythms. However, it is unknown if the circadian rhythm effects of lithium are essential to its therapeutic properties. Methods In secondary analyses of a multi-center, prospective, trial of lithium for BD, we examined the relationship between circadian rhythms and therapeutic response to lithium. Using standardized instruments, we measured morningness, diurnal changes in mood, sleep, and energy (circadian rhythm disturbances) in a cross-sectional study of 386 BD subjects with varying lithium exposure histories. Next, we tracked symptoms of depression and mania prospectively over 12 weeks in a subset of 88 BD patients initiating treatment with lithium. Total, circadian, and affective mood symptoms were scored separately and analyzed. Results Subjects with no prior lithium exposure had the most circadian disruption, while patients stable on lithium monotherapy had the least. Patients who were stable on lithium with another drug or unstable on lithium showed intermediate levels of disruption. Treatment with lithium for 12 weeks yielded significant reductions in total and affective depression symptoms. Lithium responders (Li-Rs) showed improvement in circadian symptoms of depression, but non-responders did not. There was no difference between Li-Rs and nonresponders in affective, circadian, or total symptoms of mania. Conclusions Exposure to lithium is associated with reduced circadian disruption. Lithium response at 12 weeks was selectively associated with the reduction of circadian depressive symptoms. We conclude that stabilization of circadian rhythms may be an important feature of lithium's therapeutic effects. Clinical Trials Registry: NCT0127253.</t>
  </si>
  <si>
    <t>[Federoff, Monica; McCarthy, Michael J.; Bhattacharjee, Abesh; Maihofer, Adam X.; Shilling, Paul D.; Nievergelt, Caroline M.; Kelsoe, John R.] Univ Calif San Diego, Dept Psychiat, La Jolla, CA 92093 USA; [McCarthy, Michael J.; Bhattacharjee, Abesh; DeModena, Anna; Leckband, Susan G.] VA San Diego Healthcare Syst, Dept Psychiat, La Jolla, CA USA; [Anand, Amit; Conroy, Carla; D'Arcangelo, Nicole; Gao, Keming; Karberg, Toyomi; Schinagle, Martha; Calabrese, Joseph R.] Case Western Reserve Univ, Dept Psychiat, Cleveland, OH 44106 USA; [Berrettini, Wade H.; Lohoff, Falk; Schwebel, Candice] Univ Penn, Perelman Sch Med, Philadelphia, PA USA; [Bertram, Holli; Frazier, Nicole; Harrington, Gloria; Kamali, Masoud; Kelly, Marisa; McInnis, Melvin G.; Ryan, Kelly] Univ Michigan, Ann Arbor, MI 48109 USA; [Calkin, Cynthia, V; Garnham, Julie; Slaney, Claire; Alda, Martin] Dalhousie Univ, Halifax, NS, Canada; [Coryell, William H.; Tarwater, Bruce] Univ Iowa, Iowa City, IA USA; [Fisher, Carrie; Nurnberger, John, I] Indiana Univ Sch Med, Dept Psychiat, Stark Neurosci Res Inst, Indianapolis, IN 46202 USA; [Fisher, Carrie; Nurnberger, John, I] Indiana Univ Sch Med, Dept Med, Stark Neurosci Res Inst, Indianapolis, IN 46202 USA; [Fisher, Carrie; Nurnberger, John, I] Indiana Univ Sch Med, Dept Mol Genet, Stark Neurosci Res Inst, Indianapolis, IN 46202 USA; [Feeder, Scott; Frye, Mark A.] Mayo Clin, Rochester, MN USA; [Gershon, Elliot S.; Alliey-Rodriguez, Ney; Shaw, Martha] Univ Chicago, Chicago, IL USA; [Glazer, Kara; Goes, Fernando; Mondimore, Francis; Ritchey, Megan; Zandi, Peter P.] Johns Hopkins Sch Med, Dept Psychiat &amp; Behav Sci, Baltimore, MD USA; [Jakobsen, Petter; Oedegaard, Ketil J.] Haukeland Hosp, Div Psychiat, NORMENT, Bergen, Norway; [Jakobsen, Petter; Oedegaard, Ketil J.; Schoeyen, Helle; Stautland, Andrea] Univ Bergen, Dept Clin Med, Bergen, Norway; [Morken, Gunnar] Norwegian Univ Sci &amp; Technol, Div Psychiat, St Olav Univ Hosp Trondheim, Fac Med, Trondheim, Norway; [Morken, Gunnar] Norwegian Univ Sci &amp; Technol, Dept Neurosci, Fac Med, Trondheim, Norway; [Schoeyen, Helle] Stavanger Univ Hosp, Clin Adult Psychiat, Stavanger, Norway</t>
  </si>
  <si>
    <t>University of California System; University of California San Diego; US Department of Veterans Affairs; Veterans Health Administration (VHA); VA San Diego Healthcare System; University System of Ohio; Case Western Reserve University; University of Pennsylvania; University of Michigan System; University of Michigan; Dalhousie University; University of Iowa; Indiana University System; Indiana University Bloomington; Indiana University System; Indiana University Bloomington; Indiana University System; Indiana University Bloomington; Mayo Clinic; University of Chicago; Johns Hopkins University; Johns Hopkins Medicine; University of Bergen; Haukeland University Hospital; University of Bergen; Norwegian University of Science &amp; Technology (NTNU); Norwegian University of Science &amp; Technology (NTNU); Stavanger University Hospital</t>
  </si>
  <si>
    <t>McCarthy, MJ (corresponding author), VA San Diego Healthcare Syst, 3350 La Jolla Village Dr MC116A, San Diego, CA 92161 USA.</t>
  </si>
  <si>
    <t>mmccarthy@health.ucsd.edu</t>
  </si>
  <si>
    <t>; anand, amit/D-4232-2013; Stautland, Anea/Y-6262-2019; McCarthy, Michael/K-9302-2017; McInnis, Melvin/F-6963-2012; , Elliot Gershon/LMM-8212-2024; Alda, Martin/F-5812-2010; Kamali, Masoud/GLQ-5784-2022; Morken, Gunnar/AAX-3373-2020</t>
  </si>
  <si>
    <t>Calkin, Cynthia/0000-0003-4673-3990; anand, amit/0000-0003-1016-6904; Stautland, Anea/0000-0002-6595-3692; McCarthy, Michael/0000-0001-6219-4945; McInnis, Melvin/0000-0002-0375-6247; Federoff, Monica/0000-0002-7920-2136; Tobes, Marisa/0000-0002-7151-1938; coryell, william/0000-0003-3989-7276; Kamali, Masoud/0000-0003-1453-5201;</t>
  </si>
  <si>
    <t>Western Norway Regional Health Authority; Canadian Institutes of Health Research [64410]; National Institute of Mental Health R25 [MH101072]; NIMH/NIGMS [MH92758]; VA BLRD Merit Award [BX003431]; National Institute of Mental Health [R25MH101072] Funding Source: NIH RePORTER</t>
  </si>
  <si>
    <t>Western Norway Regional Health Authority; Canadian Institutes of Health Research(Canadian Institutes of Health Research (CIHR)); National Institute of Mental Health R25; NIMH/NIGMS; VA BLRD Merit Award; National Institute of Mental Health(United States Department of Health &amp; Human ServicesNational Institutes of Health (NIH) - USANIH National Institute of Mental Health (NIMH))</t>
  </si>
  <si>
    <t>The Western Norway Regional Health Authority and the Canadian Institutes of Health Research, Grant/Award Number: 64410; National Institute of Mental Health R25, Grant/Award Number: MH101072; NIMH/NIGMS, Grant/Award Number: MH92758; VA BLR&amp;D Merit Award, Grant/Award Number: BX003431</t>
  </si>
  <si>
    <t>WILEY</t>
  </si>
  <si>
    <t>111 RIVER ST, HOBOKEN 07030-5774, NJ USA</t>
  </si>
  <si>
    <t>1398-5647</t>
  </si>
  <si>
    <t>1399-5618</t>
  </si>
  <si>
    <t>BIPOLAR DISORD</t>
  </si>
  <si>
    <t>Bipolar Disord.</t>
  </si>
  <si>
    <t>10.1111/bdi.13162</t>
  </si>
  <si>
    <t>DEC 2021</t>
  </si>
  <si>
    <t>Clinical Neurology; Neurosciences; Psychiatry</t>
  </si>
  <si>
    <t>Neurosciences &amp; Neurology; Psychiatry</t>
  </si>
  <si>
    <t>4H6ZG</t>
  </si>
  <si>
    <t>Green Submitted, Bronze</t>
  </si>
  <si>
    <t>WOS:000727230800001</t>
  </si>
  <si>
    <t>Colamonici, MA; Epshtein, Y; Jacobson, JR</t>
  </si>
  <si>
    <t>Colamonici, Marco A.; Epshtein, Yulia; Jacobson, Jeffrey R.</t>
  </si>
  <si>
    <t>LUNG ENDOTHELIAL CELL BARRIER DISRUPTION BY LPS IS ATTENUATED BY LITHIUM AND HALOPERIDOL</t>
  </si>
  <si>
    <t>JOURNAL OF INVESTIGATIVE MEDICINE</t>
  </si>
  <si>
    <t>Midwest Clinical and Translational Research Meeting of Central-Society-for-Clinical-and-Translational-Research (CSCTR) and the Midwestern-Section-American-Federation-for-Medical-Research (MWAFMR)</t>
  </si>
  <si>
    <t>APR 02-03, 2020</t>
  </si>
  <si>
    <t>ELECTR NETWORK</t>
  </si>
  <si>
    <t>Cent Soc Clin &amp; Translat Res,Midwestern Sect Amer Federat Med Res</t>
  </si>
  <si>
    <t>[Colamonici, Marco A.; Epshtein, Yulia; Jacobson, Jeffrey R.] UIC, Chicago, IL USA</t>
  </si>
  <si>
    <t>University of Illinois System; University of Illinois Chicago</t>
  </si>
  <si>
    <t>SAGE PUBLICATIONS LTD</t>
  </si>
  <si>
    <t>LONDON</t>
  </si>
  <si>
    <t>1 OLIVERS YARD, 55 CITY ROAD, LONDON EC1Y 1SP, ENGLAND</t>
  </si>
  <si>
    <t>1081-5589</t>
  </si>
  <si>
    <t>1708-8267</t>
  </si>
  <si>
    <t>J INVEST MED</t>
  </si>
  <si>
    <t>J. Investigative Med.</t>
  </si>
  <si>
    <t>B60</t>
  </si>
  <si>
    <t>10.1136/jim-2020-MW.120</t>
  </si>
  <si>
    <t>Medicine, General &amp; Internal; Medicine, Research &amp; Experimental</t>
  </si>
  <si>
    <t>Science Citation Index Expanded (SCI-EXPANDED); Conference Proceedings Citation Index - Science (CPCI-S)</t>
  </si>
  <si>
    <t>General &amp; Internal Medicine; Research &amp; Experimental Medicine</t>
  </si>
  <si>
    <t>OH6AM</t>
  </si>
  <si>
    <t>WOS:000582669400136</t>
  </si>
  <si>
    <t>EV LIBs; Geopolitical disruptions; Supply chain network; Vulnerability assessment; Disruption ripple effect</t>
  </si>
  <si>
    <t>EMPIRICAL-ANALYSIS; PERFORMANCE; SYSTEMS; RISK; SIMULATION; EVOLUTION</t>
  </si>
  <si>
    <t>Jimei University; Beijing Jiaotong University; Beijing University of Technology; Wuhan Polytechnic University; Texas A&amp;M University System; Texas A&amp;M University College Station; Northwestern Polytechnical University; University of Glasgow</t>
  </si>
  <si>
    <t>Wang, Chao/L-7712-2019; Zhao, Longfeng/AFW-1089-2022; Lim, Ming K/D-1476-2017; Du, Jianbang/AAJ-5039-2021</t>
  </si>
  <si>
    <t>Zhao, Longfeng/0000-0002-0642-3798; Ren, Huanyu/0000-0001-5127-8721; Yue, Xiongping/0000-0002-8223-3099; Lim, Ming K/0000-0003-0809-9431;</t>
  </si>
  <si>
    <t>National Natural Science Foundation of China [72172012, 72071006, 71901171]; Startup funding of NWPU; [G2021KY05101]</t>
  </si>
  <si>
    <t>National Natural Science Foundation of China(National Natural Science Foundation of China (NSFC)); Startup funding of NWPU;</t>
  </si>
  <si>
    <t>This research is funded by the National Natural Science Foundation of China (72172012, 72071006 and 71901171), and also supported by Startup funding of NWPU G2021KY05101.</t>
  </si>
  <si>
    <t>PERGAMON-ELSEVIER SCIENCE LTD</t>
  </si>
  <si>
    <t>OXFORD</t>
  </si>
  <si>
    <t>THE BOULEVARD, LANGFORD LANE, KIDLINGTON, OXFORD OX5 1GB, ENGLAND</t>
  </si>
  <si>
    <t>0360-8352</t>
  </si>
  <si>
    <t>1879-0550</t>
  </si>
  <si>
    <t>COMPUT IND ENG</t>
  </si>
  <si>
    <t>Comput. Ind. Eng.</t>
  </si>
  <si>
    <t>Computer Science, Interdisciplinary Applications; Engineering, Industrial</t>
  </si>
  <si>
    <t>Computer Science; Engineering</t>
  </si>
  <si>
    <t>JN8K4</t>
  </si>
  <si>
    <t>Green Submitted</t>
  </si>
  <si>
    <t>JENKINSON, S; CHALLISS, RAJ; NAHORSKI, SR</t>
  </si>
  <si>
    <t>DISRUPTION OF PHOSPHOINOSITIDE SIGNALING BY LITHIUM IN CHO-CELLS EXPRESSING RECOMBINANT MUSCARINIC M(1)-RECEPTORS</t>
  </si>
  <si>
    <t>BRITISH JOURNAL OF PHARMACOLOGY</t>
  </si>
  <si>
    <t>UNIV LEICESTER,DEPT PHARMACOL &amp; THERAPEUT,LEICESTER LE1 9HN,ENGLAND</t>
  </si>
  <si>
    <t>University of Leicester</t>
  </si>
  <si>
    <t>STOCKTON PRESS</t>
  </si>
  <si>
    <t>BASINGSTOKE</t>
  </si>
  <si>
    <t>HOUNDMILLS, BASINGSTOKE, HAMPSHIRE, ENGLAND RG21 6XS</t>
  </si>
  <si>
    <t>0007-1188</t>
  </si>
  <si>
    <t>BRIT J PHARMACOL</t>
  </si>
  <si>
    <t>Br. J. Pharmacol.</t>
  </si>
  <si>
    <t>S</t>
  </si>
  <si>
    <t>P71</t>
  </si>
  <si>
    <t>LZ280</t>
  </si>
  <si>
    <t>WOS:A1993LZ28000071</t>
  </si>
  <si>
    <t>He, ZL; Zhou, YL; Wang, QQ; Li, JW; Zheng, ZM; Chen, J; Zhang, HY; Wang, ZG; Xu, HZ; Xiao, J</t>
  </si>
  <si>
    <t>He, Zili; Zhou, Yulong; Wang, Qingqing; Li, Jiawei; Zheng, Zengming; Chen, Jian; Zhang, Hongyu; Wang, Zhouguang; Xu, Huazi; Xiao, Jian</t>
  </si>
  <si>
    <t>Inhibiting endoplasmic reticulum stress by lithium chloride contributes to the integrity of blood-spinal cord barrier and functional recovery after spinal cord injury</t>
  </si>
  <si>
    <t>AMERICAN JOURNAL OF TRANSLATIONAL RESEARCH</t>
  </si>
  <si>
    <t>Blood-spinal cord barrier; spinal cord injury; endoplasmic reticulum stress; lithium chloride</t>
  </si>
  <si>
    <t>MOOD STABILIZERS LITHIUM; BETA-CELL FUNCTION; BRAIN-BARRIER; VALPROIC ACID; C-KIT; PROTECTS; DISRUPTION; SURVIVAL; DELETION; DISEASE</t>
  </si>
  <si>
    <t>Endoplasmic reticulum (ER) stress play important roles in the spinal cord injury (SCI), which including blood-spinal cord barrier (BSCB) disruption. Lithium chloride (LiCl) is a clinical drug for bipolar mood disorders and contributes to neuroprotection. This study aims to investigate the effects of LiCl on BSCB disruption and the ER stress pathway induced by spinal cord injury. We examined the integrity of the BSCB with Evans Blue dye and macrophages extravasation, measured the microvessels loss, the junction proteins degeneration, the activation ER stress, and the locomotor function recovery. Our data indicated that LiCl treatment could attenuates BSCB disruption and improved the recovery of functional locomotion in rats SCI model, reduced the structure damage and number loss of microvessels, increased the expressions of junction proteins, including p120, beta-catenin, occludin, and claudin-5, via reversed the upregulated ER stress associated proteins. In addition, LiCl significantly inhibited the increase of ER stress markers and prevents loss of junction proteins in thapsigargin (TG)-treated human brain microvascular endothelial cells (HBMEC). These findings suggest that LiCl treatment alleviates BSCB disruption and promote the neurological function recovery after SCI, partly through inhibiting the activation of ER stress.</t>
  </si>
  <si>
    <t>[He, Zili; Zhou, Yulong; Wang, Qingqing; Li, Jiawei; Zheng, Zengming; Chen, Jian; Xu, Huazi; Xiao, Jian] Wenzhou Med Univ, Affliated Hosp 2, Dept Orthopaed, Wenzhou 325035, Zhejiang, Peoples R China; [He, Zili; Zhou, Yulong; Wang, Qingqing; Li, Jiawei; Zheng, Zengming; Chen, Jian; Xu, Huazi; Xiao, Jian] Wenzhou Med Univ, Yuying Childrens Hosp, Wenzhou 325035, Zhejiang, Peoples R China; [He, Zili; Wang, Qingqing; Li, Jiawei; Zhang, Hongyu; Wang, Zhouguang; Xiao, Jian] Wenzhou Med Univ, Sch Pharm, Mol Pharmacol Res Ctr, Wenzhou 325035, Zhejiang, Peoples R China</t>
  </si>
  <si>
    <t>Wenzhou Medical University; Wenzhou Medical University; Wenzhou Medical University</t>
  </si>
  <si>
    <t>Xu, HZ; Xiao, J (corresponding author), Wenzhou Med Univ, Affliated Hosp 2, Dept Orthopaed, Wenzhou 325035, Zhejiang, Peoples R China.;Xu, HZ; Xiao, J (corresponding author), Wenzhou Med Univ, Yuying Childrens Hosp, Wenzhou 325035, Zhejiang, Peoples R China.;Wang, ZG (corresponding author), Wenzhou Med Univ, Sch Pharm, Mol Pharmacol Res Ctr, Wenzhou 325035, Zhejiang, Peoples R China.</t>
  </si>
  <si>
    <t>huaikon-gwang@126.com; spinexu@163.com; xfxj2000@126.com</t>
  </si>
  <si>
    <t>Xiao, Jian/GYU-4351-2022; Zhouguang, Wang/F-7918-2017</t>
  </si>
  <si>
    <t>Xiao, Jian/0000-0001-7374-6506; Zhouguang, Wang/0000-0001-9903-0362</t>
  </si>
  <si>
    <t>National Natural Science Foundation of China [81572237, 81572227, 8130-2775, 81501953, 81601980]; Zhejiang Provincial Natural Science Foundation [Y14H17-0002, LY17H090017, Y14H170008, Q16H0-90023]; Technologies Science and technology Program of Zhejiang Provincial [2016-C33107]</t>
  </si>
  <si>
    <t>National Natural Science Foundation of China(National Natural Science Foundation of China (NSFC)); Zhejiang Provincial Natural Science Foundation(Natural Science Foundation of Zhejiang Province); Technologies Science and technology Program of Zhejiang Provincial</t>
  </si>
  <si>
    <t>This study was partially supported by a research grant from National Natural Science Foundation of China (81572237, 81572227, 8130-2775, 81501953, 81601980), Zhejiang Provincial Natural Science Foundation (Y14H17-0002, LY17H090017, Y14H170008, Q16H0-90023), and Technologies Science and technology Program of Zhejiang Provincial (2016-C33107).</t>
  </si>
  <si>
    <t>E-CENTURY PUBLISHING CORP</t>
  </si>
  <si>
    <t>MADISON</t>
  </si>
  <si>
    <t>40 WHITE OAKS LN, MADISON, WI 53711 USA</t>
  </si>
  <si>
    <t>1943-8141</t>
  </si>
  <si>
    <t>AM J TRANSL RES</t>
  </si>
  <si>
    <t>Am. J. Transl. Res.</t>
  </si>
  <si>
    <t>Oncology; Medicine, Research &amp; Experimental</t>
  </si>
  <si>
    <t>Oncology; Research &amp; Experimental Medicine</t>
  </si>
  <si>
    <t>ER7XK</t>
  </si>
  <si>
    <t>WOS:000399028800015</t>
  </si>
  <si>
    <t>Ghezzi, F; Laguardia, L; Apicella, ML; Bressan, C; Caniello, R; Cippo, EP; Conti, C; De Angeli, M; Maddaluno, G; Mazzitelli, G</t>
  </si>
  <si>
    <t>Ghezzi, F.; Laguardia, L.; Apicella, M. L.; Bressan, C.; Caniello, R.; Cippo, E. Perelli; Conti, C.; De Angeli, M.; Maddaluno, G.; Mazzitelli, G.</t>
  </si>
  <si>
    <t>Evidence of formation of lithium compounds on FTU tiles and dust</t>
  </si>
  <si>
    <t>APPLIED SURFACE SCIENCE</t>
  </si>
  <si>
    <t>Fusion; Lithium; Plasma-wall interaction; XPS; FTIR; SIMS; Gibbs free energy</t>
  </si>
  <si>
    <t>SURFACE; OXIDATION; OXYGEN; XPS</t>
  </si>
  <si>
    <t>Since 2006 lithium as an advanced plasma facing material has been tested on the Frascati Tokamak Upgrade (FTU). Lithium in the liquid phase acts both as plasma facing component, i.e. limiter, and plays also a role in plasma operation because by depositing a lithium film on the walls (lithization) oxygen is gettered. As in all deposition processes, even for the lithization, the presence of impurities in plasma phase strongly affects the properties of the deposited film. During the 2008 campaigns of FTU it was observed a strong release of carbon dioxide (during disruptions), resulting in successive serious difficulty of operation. In order to find the possible reactions occurred, we have analyzed the surface of two tiles of the toroidal limiter close to the Liquid Lithium Limiter (LLL). The presence of molybdenum oxides and carbides suggested that the surface temperatures could have exceeded 1000 K, likely during disruptions. lithium oxides and hydroxides have been found on the tiles and in the dust collected in the vessel, confirming the presence of LiO and LiOH and a not negligible concentration of Li2CO3 especially at the LLL location. On the basis of the above results, we propose here a simple rationale, based on a two reactions mechanism, which can explain the formation of Li2CO3 and its subsequent decomposition during disruption with release of CO2 in the vessel. Admitting surface temperatures above 1000 K during a disruption, relatively high partial pressures of CO2 are also predicted by the equilibrium constant for Li2CO3 decomposition. (C) 2017 Elsevier B.V. All rights reserved.</t>
  </si>
  <si>
    <t>[Ghezzi, F.; Laguardia, L.; Caniello, R.; Cippo, E. Perelli; De Angeli, M.] CNR, Ist Fis Plasma Piero Caldirola, Via Cozzi 53, I-20125 Milan, Italy; [Bressan, C.] Univ Milano Bicocca, Piazza Sci 3, Milan, Italy; [Apicella, M. L.; Maddaluno, G.; Mazzitelli, G.] ENEA, Fus &amp; Technol Nucl Safety Dept, CP 65, I-00044 Rome, Italy; [Conti, C.] CNR, Ist Conservaz &amp; Valorizzaz Beni Culturali, Via Cozzi 53, Milan, Italy</t>
  </si>
  <si>
    <t>Consiglio Nazionale delle Ricerche (CNR); Istituto Fisica del Plasma Piero Caldirola (IFP-CNR); University of Milano-Bicocca; Italian National Agency New Technical Energy &amp; Sustainable Economics Development; Italian National Agency New Technical Energy &amp; Sustainable Economics Development; Consiglio Nazionale delle Ricerche (CNR); Istituto per la Conservazione e la Valorizzazione dei Beni Culturali (ICVBC-CNR)</t>
  </si>
  <si>
    <t>Ghezzi, F (corresponding author), CNR, Ist Fis Plasma Piero Caldirola, Via Cozzi 53, I-20125 Milan, Italy.</t>
  </si>
  <si>
    <t>ghezzi@ifp.cnr.it</t>
  </si>
  <si>
    <t>; Conti, Claudia/JNT-5951-2023</t>
  </si>
  <si>
    <t>Ghezzi, Francesco/0000-0003-3363-5187; Laguardia, Laura/0000-0001-9209-3571; Conti, Claudia/0000-0002-5379-7995</t>
  </si>
  <si>
    <t>Consiglio Nazionale delle Ricerche; CNR-STFC Agreement concerning collaboration in scientific research at the spallation neutron source ISIS</t>
  </si>
  <si>
    <t>Consiglio Nazionale delle Ricerche(Consiglio Nazionale delle Ricerche (CNR)); CNR-STFC Agreement concerning collaboration in scientific research at the spallation neutron source ISIS</t>
  </si>
  <si>
    <t>This work was supported within the CNR-STFC Agreement concerning collaboration in scientific research at the spallation neutron source ISIS. The financial support of the Consiglio Nazionale delle Ricerche in this research is hereby acknowledged.</t>
  </si>
  <si>
    <t>0169-4332</t>
  </si>
  <si>
    <t>1873-5584</t>
  </si>
  <si>
    <t>APPL SURF SCI</t>
  </si>
  <si>
    <t>Appl. Surf. Sci.</t>
  </si>
  <si>
    <t>10.1016/j.apsusc.2017.09.134</t>
  </si>
  <si>
    <t>Chemistry, Physical; Materials Science, Coatings &amp; Films; Physics, Applied; Physics, Condensed Matter</t>
  </si>
  <si>
    <t>Chemistry; Materials Science; Physics</t>
  </si>
  <si>
    <t>FM7CJ</t>
  </si>
  <si>
    <t>WOS:000415227000016</t>
  </si>
  <si>
    <t>Crisafulli, C; Drago, A; Serretti, A</t>
  </si>
  <si>
    <t>Crisafulli, C.; Drago, A.; Serretti, A.</t>
  </si>
  <si>
    <t>The inflammatory genetic background and genetically disruption of lithium related molecular pathways in bipolar disorder patients</t>
  </si>
  <si>
    <t>EUROPEAN NEUROPSYCHOPHARMACOLOGY</t>
  </si>
  <si>
    <t>[Crisafulli, C.] Univ Messina Policlin, Div Biol &amp; Genet, Dept Biomorphol &amp; Biotechnol, Messina, Italy; [Drago, A.; Serretti, A.] Univ Bologna, Dept Biomed &amp; Neuromotor Sci, Bologna, Italy</t>
  </si>
  <si>
    <t>University of Messina; University Messina Policlin; AOU Policlinico Gaetano Martino; University of Bologna</t>
  </si>
  <si>
    <t>serretti, alessandro/G-3955-2017</t>
  </si>
  <si>
    <t>0924-977X</t>
  </si>
  <si>
    <t>1873-7862</t>
  </si>
  <si>
    <t>EUR NEUROPSYCHOPHARM</t>
  </si>
  <si>
    <t>Eur. Neuropsychopharmacol.</t>
  </si>
  <si>
    <t>P.2.c.010</t>
  </si>
  <si>
    <t>S360</t>
  </si>
  <si>
    <t>10.1016/S0924-977X(13)70568-6</t>
  </si>
  <si>
    <t>Clinical Neurology; Neurosciences; Pharmacology &amp; Pharmacy; Psychiatry</t>
  </si>
  <si>
    <t>Neurosciences &amp; Neurology; Pharmacology &amp; Pharmacy; Psychiatry</t>
  </si>
  <si>
    <t>V40HR</t>
  </si>
  <si>
    <t>WOS:000209470200454</t>
  </si>
  <si>
    <t>NEURATH, AR; STASNY, JT; RUBIN, BA</t>
  </si>
  <si>
    <t>DISRUPTION OF ADENOVIRUS TYPE-7 BY LITHIUM IODIDE RESULTING IN RELEASE OF VIRAL DEOXYRIBONU CLEIC ACID</t>
  </si>
  <si>
    <t>JOURNAL OF VIROLOGY</t>
  </si>
  <si>
    <t>AMER SOC MICROBIOLOGY</t>
  </si>
  <si>
    <t>WASHINGTON</t>
  </si>
  <si>
    <t>1325 MASSACHUSETTS AVENUE, NW, WASHINGTON, DC 20005-4171</t>
  </si>
  <si>
    <t>0022-538X</t>
  </si>
  <si>
    <t>J VIROL</t>
  </si>
  <si>
    <t>J. Virol.</t>
  </si>
  <si>
    <t>&amp;</t>
  </si>
  <si>
    <t>10.1128/JVI.5.2.173-178.1970</t>
  </si>
  <si>
    <t>Virology</t>
  </si>
  <si>
    <t>F3785</t>
  </si>
  <si>
    <t>WOS:A1970F378500009</t>
  </si>
  <si>
    <t>EV Lithium-ion batteries; Complex network; Supply chain; Structural characteristics; Disruption ripple effect</t>
  </si>
  <si>
    <t>SUBSTANCE FLOW-ANALYSIS; SOCIAL NETWORKS; MAINLAND CHINA; RESILIENCE; EVOLUTION; TRADE; VULNERABILITY; MANAGEMENT; SYSTEMS</t>
  </si>
  <si>
    <t>Beijing Jiaotong University; Beijing University of Technology; University College Dublin</t>
  </si>
  <si>
    <t>Du, Jianbang/AAJ-5039-2021</t>
  </si>
  <si>
    <t>Du, Jianbang/0000-0003-4960-3155; Yue, Xiongping/0000-0002-8223-3099; Ghadimi, Pezhman/0000-0003-0153-9035; Ren, Huanyu/0000-0001-5127-8721</t>
  </si>
  <si>
    <t>National Natural Science Foundation of China; [72172012]; [72071006]</t>
  </si>
  <si>
    <t>National Natural Science Foundation of China(National Natural Science Foundation of China (NSFC)); ;</t>
  </si>
  <si>
    <t>Acknowledgment Financial support was provided by the National Natural Science Foundation of China (72172012 and 72071006) .</t>
  </si>
  <si>
    <t>ELSEVIER SCI LTD</t>
  </si>
  <si>
    <t>London</t>
  </si>
  <si>
    <t>125 London Wall, London, ENGLAND</t>
  </si>
  <si>
    <t>0301-4207</t>
  </si>
  <si>
    <t>1873-7641</t>
  </si>
  <si>
    <t>RESOUR POLICY</t>
  </si>
  <si>
    <t>Resour. Policy</t>
  </si>
  <si>
    <t>Environmental Studies</t>
  </si>
  <si>
    <t>Social Science Citation Index (SSCI)</t>
  </si>
  <si>
    <t>Environmental Sciences &amp; Ecology</t>
  </si>
  <si>
    <t>7F0UM</t>
  </si>
  <si>
    <t>Volk, K; Baranovskaya, I; Cherezova, A; Buncha, V; Alexander, S</t>
  </si>
  <si>
    <t>Volk, Kevin; Baranovskaya, Irina; Cherezova, Alena; Buncha, Vadym; Alexander, Sati</t>
  </si>
  <si>
    <t>Lithium -Induced Disruption of Intracellular Ca2+ Balance in the Collecting Duct Intercalated Cells Contributes to Metabolic Acidosis in Mice</t>
  </si>
  <si>
    <t>PHYSIOLOGY</t>
  </si>
  <si>
    <t>American Physiology Summit Meeting</t>
  </si>
  <si>
    <t>APR 04-07, 2024</t>
  </si>
  <si>
    <t>Long Beach, CA</t>
  </si>
  <si>
    <t>NIDDK [R01DK125464]</t>
  </si>
  <si>
    <t>NIDDK(United States Department of Health &amp; Human ServicesNational Institutes of Health (NIH) - USANIH National Institute of Diabetes &amp; Digestive &amp; Kidney Diseases (NIDDK))</t>
  </si>
  <si>
    <t>NIDDK R01DK125464.</t>
  </si>
  <si>
    <t>AMER PHYSIOLOGICAL SOC</t>
  </si>
  <si>
    <t>Rockville</t>
  </si>
  <si>
    <t>6120 Executive Blvd, Suite 600, Rockville, MD, UNITED STATES</t>
  </si>
  <si>
    <t>1548-9213</t>
  </si>
  <si>
    <t>1548-9221</t>
  </si>
  <si>
    <t>Physiology</t>
  </si>
  <si>
    <t>10.1152/physiol.2024.39.S1.2212</t>
  </si>
  <si>
    <t>YS6V1</t>
  </si>
  <si>
    <t>WOS:001270523603370</t>
  </si>
  <si>
    <t>Sizyuk, V; Hassanein, A</t>
  </si>
  <si>
    <t>Sizyuk, Valeryi; Hassanein, Ahmed</t>
  </si>
  <si>
    <t>Integrated models to study the impact of ELMs and disruptions on lithium in the NSTX divertor</t>
  </si>
  <si>
    <t>19th International Conference on Plasma-Surface Interactions in Controlled Fusion Devices (PSI)</t>
  </si>
  <si>
    <t>MAY 24-28, 2010</t>
  </si>
  <si>
    <t>Univ Calif, Gen Atom, San Diego, CA</t>
  </si>
  <si>
    <t>Lawrence Livermore Natl Lab</t>
  </si>
  <si>
    <t>Univ Calif, Gen Atom</t>
  </si>
  <si>
    <t>EXPLORATION</t>
  </si>
  <si>
    <t>Lithium as a potential plasma-facing material has many attractive features including a reduction in recycling of hydrogenic species and ability to withstand high heat and neutron fluxes in fusion reactors. Recent analysis of the National Spherical Torus experiment (NSTX) device has shown significant and recurring benefits of lithium coatings on plasma-facing components performance. To self-consistently study the performance of lithium divertor during ELMs and disruptions in NSTX, integrated multi-fluid and multi-dimensional models are being developed based on HEIGHTS simulation package that address and combine several areas from the bulk plasma energy released to the magneto-hydrodynamic evolution and production of lithium plasma in the complex magnetic field structure. The simulation showed the importance of the 3D geometrical effects on divertor erosion dynamics. Lithium expansion in divertor and SOL areas may potentially cause bulk plasma contamination during high power ELMs. (C) 2010 Elsevier B.V. All rights reserved.</t>
  </si>
  <si>
    <t>[Sizyuk, Valeryi; Hassanein, Ahmed] Purdue Univ, Sch Nucl Engn, W Lafayette, IN 47907 USA</t>
  </si>
  <si>
    <t>Purdue University System; Purdue University</t>
  </si>
  <si>
    <t>Sizyuk, V (corresponding author), Purdue Univ, Sch Nucl Engn, 400 Cent Dr, W Lafayette, IN 47907 USA.</t>
  </si>
  <si>
    <t>vsizyuk@purdue.edu; hassanein@purdue.edu</t>
  </si>
  <si>
    <t>Hassanein, Ahmed/0009-0004-5263-7801; Sizyuk, Valeryi/0000-0002-6406-2572</t>
  </si>
  <si>
    <t>0022-3115</t>
  </si>
  <si>
    <t>1873-4820</t>
  </si>
  <si>
    <t>J NUCL MATER</t>
  </si>
  <si>
    <t>J. Nucl. Mater.</t>
  </si>
  <si>
    <t>AUG 1</t>
  </si>
  <si>
    <t>S881</t>
  </si>
  <si>
    <t>S885</t>
  </si>
  <si>
    <t>10.1016/j.jnucmat.2010.11.080</t>
  </si>
  <si>
    <t>Materials Science, Multidisciplinary; Nuclear Science &amp; Technology</t>
  </si>
  <si>
    <t>Materials Science; Nuclear Science &amp; Technology</t>
  </si>
  <si>
    <t>862XT</t>
  </si>
  <si>
    <t>WOS:000298128100202</t>
  </si>
  <si>
    <t>Federoff, M; McCarthy, MJ</t>
  </si>
  <si>
    <t>Federoff, Monica; McCarthy, Michael J.</t>
  </si>
  <si>
    <t>Sleep and circadian rhythm disruption is corrected by lithium in a case of bipolar disorder with familial BRCA1 mutation</t>
  </si>
  <si>
    <t>Editorial Material</t>
  </si>
  <si>
    <t>[Federoff, Monica; McCarthy, Michael J.] Univ Calif San Diego, Dept Psychiat, La Jolla, CA 92093 USA; [McCarthy, Michael J.] Vet Affairs San Diego Healthcare Syst, Mental Hlth Serv, San Diego, CA USA</t>
  </si>
  <si>
    <t>University of California System; University of California San Diego; US Department of Veterans Affairs; Veterans Health Administration (VHA); VA San Diego Healthcare System</t>
  </si>
  <si>
    <t>McCarthy, MJ (corresponding author), VA San Diego, 3350 La Jolla Village Dr MC116A, San Diego, CA 92161 USA.</t>
  </si>
  <si>
    <t>mmccarthy@ucsd.edu</t>
  </si>
  <si>
    <t>McCarthy, Michael/K-9302-2017</t>
  </si>
  <si>
    <t>McCarthy, Michael/0000-0001-6219-4945; Federoff, Monica/0000-0002-7920-2136</t>
  </si>
  <si>
    <t>BLRD VA [I01 BX003431] Funding Source: Medline</t>
  </si>
  <si>
    <t>BLRD VA</t>
  </si>
  <si>
    <t>10.1111/bdi.13014</t>
  </si>
  <si>
    <t>OCT 2020</t>
  </si>
  <si>
    <t>QE1IG</t>
  </si>
  <si>
    <t>WOS:000585938400001</t>
  </si>
  <si>
    <t>NAHORSKI, SR; JENKINSON, S; CHALLISS, RAJ</t>
  </si>
  <si>
    <t>DISRUPTION OF PHOSPHOINOSITIDE SIGNALING BY LITHIUM</t>
  </si>
  <si>
    <t>BIOCHEMICAL SOCIETY TRANSACTIONS</t>
  </si>
  <si>
    <t>641ST MEETING OF THE BIOCHEMICAL SOC</t>
  </si>
  <si>
    <t>DEC 17-20, 1991</t>
  </si>
  <si>
    <t>ROYAL HOLLOWAY &amp; BEDFORD NEW COLL, LONDON, ENGLAND</t>
  </si>
  <si>
    <t>BIOCHEM SOC</t>
  </si>
  <si>
    <t>ROYAL HOLLOWAY &amp; BEDFORD NEW COLL</t>
  </si>
  <si>
    <t>CEREBRAL-CORTEX SLICES; INOSITOL TETRAKISPHOSPHATE ACCUMULATION; POLYPHOSPHATE ACCUMULATION; BOVINE BRAIN; MYOINOSITOL; ISOMERS; CELLS</t>
  </si>
  <si>
    <t>NAHORSKI, SR (corresponding author), UNIV LEICESTER,DEPT PHARMACOL &amp; THERAPEUT,POB 138,MED SCI BLDG,UNIV RD,LEICESTER LE1 9HN,ENGLAND.</t>
  </si>
  <si>
    <t>Challiss, John/A-9412-2008</t>
  </si>
  <si>
    <t>Challiss, John/0000-0001-5506-2848</t>
  </si>
  <si>
    <t>Wellcome Trust Funding Source: Medline</t>
  </si>
  <si>
    <t>Wellcome Trust(Wellcome Trust)</t>
  </si>
  <si>
    <t>PORTLAND PRESS</t>
  </si>
  <si>
    <t>59 PORTLAND PLACE, LONDON, ENGLAND W1N 3AJ</t>
  </si>
  <si>
    <t>0300-5127</t>
  </si>
  <si>
    <t>BIOCHEM SOC T</t>
  </si>
  <si>
    <t>Biochem. Soc. Trans.</t>
  </si>
  <si>
    <t>10.1042/bst0200430</t>
  </si>
  <si>
    <t>Biochemistry &amp; Molecular Biology</t>
  </si>
  <si>
    <t>Conference Proceedings Citation Index - Science (CPCI-S); Science Citation Index Expanded (SCI-EXPANDED)</t>
  </si>
  <si>
    <t>HV728</t>
  </si>
  <si>
    <t>WOS:A1992HV72800046</t>
  </si>
  <si>
    <t>REGHUNANDANAN, V; BADGAIYAN, RD; MARYA, RK; REGHUNANDANAN, R; MAINI, BK</t>
  </si>
  <si>
    <t>LITHIUM-CHLORIDE SCN INJECTION ALTERS THE CIRCADIAN-RHYTHM OF FOOD-INTAKE</t>
  </si>
  <si>
    <t>CHRONOBIOLOGY INTERNATIONAL</t>
  </si>
  <si>
    <t>Effect of lithium injections through chronically implanted cannulae into the bilateral superachiasmatic nuclei (SCN) on the circadian rhythm of food intake was investigated in the rat. It was observed that the circadian rhythm was disrupted by injections of lithium at the beginning of the light as well as the dark phase of the LD cycle. In either case the percentage of the food consumed during the 12-hr light period increased while that during the dark period decreased without any significant change in the total daily intake. Disruptions in the circadian rhythm of food intake failed to show any dose-response relation. Injections of saline into the SCN or lithium into the nearby SCN area did not produce a disruption of the circadian rhythm of food intake.</t>
  </si>
  <si>
    <t>REGHUNANDANAN, V (corresponding author), MED COLL ROHTAK, DEPT PHYSIOL, HARYANA PIN 124001, INDIA.</t>
  </si>
  <si>
    <t>Badgaiyan, Rajendra/B-8183-2012</t>
  </si>
  <si>
    <t>TAYLOR &amp; FRANCIS INC</t>
  </si>
  <si>
    <t>PHILADELPHIA</t>
  </si>
  <si>
    <t>530 WALNUT STREET, STE 850, PHILADELPHIA, PA 19106 USA</t>
  </si>
  <si>
    <t>0742-0528</t>
  </si>
  <si>
    <t>1525-6073</t>
  </si>
  <si>
    <t>CHRONOBIOL INT</t>
  </si>
  <si>
    <t>Chronobiol. Int.</t>
  </si>
  <si>
    <t>+</t>
  </si>
  <si>
    <t>10.3109/07420528909064622</t>
  </si>
  <si>
    <t>Biology; Physiology</t>
  </si>
  <si>
    <t>Life Sciences &amp; Biomedicine - Other Topics; Physiology</t>
  </si>
  <si>
    <t>AA607</t>
  </si>
  <si>
    <t>WOS:A1989AA60700003</t>
  </si>
  <si>
    <t>Vertkov, A; Luyblinski, I; Evtikhin, V; Mazzitelli, G; Apicella, ML; Lazarev, V; Alekseyev, A; Khonlyakov, S</t>
  </si>
  <si>
    <t>Vertkov, A.; Luyblinski, I.; Evtikhin, V.; Mazzitelli, G.; Apicella, M. L.; Lazarev, V.; Alekseyev, A.; Khonlyakov, S.</t>
  </si>
  <si>
    <t>Technological aspects of liquid lithium limiter experiment on FTU tokamak</t>
  </si>
  <si>
    <t>24th Symposium on Fusion Technology (SOFT-24)</t>
  </si>
  <si>
    <t>SEP 11-15, 2006</t>
  </si>
  <si>
    <t>Warsaw, POLAND</t>
  </si>
  <si>
    <t>plasma facing components; liquid lithium; wall conditioning; FTU</t>
  </si>
  <si>
    <t>CAPILLARY-PORE SYSTEMS; FUSION-REACTOR DIVERTOR</t>
  </si>
  <si>
    <t>A liquid lithium limiter (LLL) with a total area of 170 cm(2) and lithium amount of congruent to 80 g based on lithium filled capillary-pore system (CPS) as an advanced plasma facing material has been tested for the first time on the medium size high magnetic field tokamak FTU. The main technological aims of the experiment were to test: the compatibility of lithium CPS in real plasma tokamak conditions; the capacity of CPS to self-regenerate an exposed surface and to confine lithium during normal plasma operations and disruptions; the capability to withstand high heat loads without damage of limiter surface. Lithium CPS advantages, experimental base for the tokamak application, general description of LLL design and preparation method were described. No anomalous phenomenon like lithium bloom has occurred in the plasma and no damage of CPS surface and LLL structure has been observed after similar to 60 discharges with power flux up to 5 MW/m(2), as well as on plasma disruptions. Self-restoring of lithium surface has been confirmed. LLL application as a conditioning element with depositing a lithium film on the walls (litization) has resulted in radiation losses, plasma contamination and D-2 recycling reduction. Perspectives of lithium CPS application for further fusion reactors have been considered. (c) 2007 Elsevier B.V. All rights reserved.</t>
  </si>
  <si>
    <t>FSUE Red Star, Moscow 115230, Russia; EURATOM, ENEA, I-00044 Frascati, Italy; TRINITY, Moscow 1421909, Russia; RDIPE, Moscow 101000, Russia</t>
  </si>
  <si>
    <t>Italian National Agency New Technical Energy &amp; Sustainable Economics Development; Italian National Agency New Technical Energy &amp; Sustainable Economics Development; Euratom</t>
  </si>
  <si>
    <t>Vertkov, A (corresponding author), FSUE Red Star, Electlitnij Proezd 1a, Moscow 115230, Russia.</t>
  </si>
  <si>
    <t>avertkov@mtu-net.ru</t>
  </si>
  <si>
    <t>Vertkov, Alexey/JTS-9864-2023</t>
  </si>
  <si>
    <t>Vertkov, Alexey/0000-0001-7164-2316</t>
  </si>
  <si>
    <t>15-24</t>
  </si>
  <si>
    <t>10.1016/j.fusengdes.2007.05.009</t>
  </si>
  <si>
    <t>231WO</t>
  </si>
  <si>
    <t>WOS:000250980100002</t>
  </si>
  <si>
    <t>GLOBAL LITHIUM FLOW; EFFICIENCY; NICKEL</t>
  </si>
  <si>
    <t>Carnegie Mellon University; Carnegie Mellon University; Carnegie Mellon University; Carnegie Mellon University</t>
  </si>
  <si>
    <t>; Cheng, Anthony/NFS-8664-2025</t>
  </si>
  <si>
    <t>Michalek, Jeremy/0000-0001-7678-8197; Cheng, Anthony/0000-0001-7410-576X</t>
  </si>
  <si>
    <t>Carnegie Mellon University College of Engineering Moonshot Award for Engineering Competitiveness: Critical Technologies, Supply Chains and Infrastructure; Carnegie Mellon University College of Engineering Moonshot Award [2241237]; National Science Foundation [DGE2140739]; National Science Foundation Graduate Research Fellowship; Fuchs, Karplus (LEO)</t>
  </si>
  <si>
    <t>Carnegie Mellon University College of Engineering Moonshot Award for Engineering Competitiveness: Critical Technologies, Supply Chains and Infrastructure(Carnegie Mellon University); Carnegie Mellon University College of Engineering Moonshot Award(Carnegie Mellon University); National Science Foundation(National Science Foundation (NSF)); National Science Foundation Graduate Research Fellowship(National Science Foundation (NSF)); Fuchs, Karplus (LEO)</t>
  </si>
  <si>
    <t>This research was supported by the 2021 Carnegie Mellon University College of Engineering Moonshot Award for Engineering Competitiveness: Critical Technologies, Supply Chains, and Infrastructure, the National Science Foundation Award # 2241237, and the National Science Foundation Graduate Research Fellowship under Grant # DGE2140739. We would like to acknowledge Paulina Jaramillo, Elsa Olivetti, Katie Whitefoot, and Jared Cohon for feedback that helped us improve initial drafts of this article, the Fuchs, Karplus (LEO), and Michalek (VEG) research groups for their feedback throughout the development of this work, and Ryan Liu for his discussions about maximum flow algorithms. We acknowledge the use of ChatGPT as a support tool to generate code snippets and help debug code issues.</t>
  </si>
  <si>
    <t>NATURE PORTFOLIO</t>
  </si>
  <si>
    <t>BERLIN</t>
  </si>
  <si>
    <t>HEIDELBERGER PLATZ 3, BERLIN, 14197, GERMANY</t>
  </si>
  <si>
    <t>2041-1723</t>
  </si>
  <si>
    <t>NAT COMMUN</t>
  </si>
  <si>
    <t>Nat. Commun.</t>
  </si>
  <si>
    <t>Multidisciplinary Sciences</t>
  </si>
  <si>
    <t>Science &amp; Technology - Other Topics</t>
  </si>
  <si>
    <t>KQ7C3</t>
  </si>
  <si>
    <t>Green Submitted, gold</t>
  </si>
  <si>
    <t>Whyte, DG; Evans, TE; Wong, CPC; West, WP; Bastasz, R; Allain, JP; Brooks, JN</t>
  </si>
  <si>
    <t>Experimental observations of lithium as a plasma-facing surface in the DIII-D tokamak divertor</t>
  </si>
  <si>
    <t>fusion; divertor; plasma-facing component; lithium; liquid; MHD; disruption</t>
  </si>
  <si>
    <t>ENHANCED PERFORMANCE; EROSION; OPERATION</t>
  </si>
  <si>
    <t>Several experiments exposing a 5 cm 2 solid and liquid lithium to the divertor plasma of the DIII-D are described. The divertor plasma strikepoint cleans and conditions the initially solid lithium surface. The effective sputtering rate and transport of lithium was found to be acceptable. Lithium has a sputtering yield of solid lithium &lt; 10% for T-e similar to20 eV. The sputtered lithium is ionized in a short distance from the divertor and promptly redeposited. Experiments and modeling show the sputtered lithium is well shielded by the divertor plasma. The behavior of the liquefied lithium was dominated by its macroscopic movement and injection into the plasma caused by J x B magnetchydrodynamic (MHD) forces. Plasma MHD events, such as edge localized modes (ELMs) and locked modes, are found to provide simultaneously the energy to melt the lithium and the transiently high scrapeoff layer (SOL) currents to cause the J x B motion. The macroscopic removal of lithium from the small sample, comprising &lt;1/1000th of the wetted divertor area, leads to measurable contamination of the core plasma by lithium. The quantity of injected lithium was sufficient to degrade confinement and/or cause disruptions. These observations indicate that surface stability and MHD motion are the most critical issues with regard to liquid-metal divertor surfaces. (C) 2004 Elsevier B.V. All rights reserved.</t>
  </si>
  <si>
    <t>Univ Wisconsin, Madison, WI 53706 USA; Gen Atom Co, San Diego, CA USA; Sandia Natl Labs, Livermore, CA USA; Argonne Natl Lab, Argonne, IL 60439 USA</t>
  </si>
  <si>
    <t>University of Wisconsin System; University of Wisconsin Madison; General Atomics &amp; Affiliated Companies; United States Department of Energy (DOE); Sandia National Laboratories; United States Department of Energy (DOE); Argonne National Laboratory</t>
  </si>
  <si>
    <t>Whyte, DG (corresponding author), Univ Wisconsin, 1500 Engn Dr, Madison, WI 53706 USA.</t>
  </si>
  <si>
    <t>whyte@engr.wisc.edu</t>
  </si>
  <si>
    <t>Evans, Todd/E-9891-2013</t>
  </si>
  <si>
    <t>Allain, Jean Paul/0000-0003-1348-262X</t>
  </si>
  <si>
    <t>1873-7196</t>
  </si>
  <si>
    <t>10.1016/j.fusengdes.2004.07.014</t>
  </si>
  <si>
    <t>871OH</t>
  </si>
  <si>
    <t>WOS:000225142500009</t>
  </si>
  <si>
    <t>CANNON, DS; BAKER, TB; BERMAN, RF</t>
  </si>
  <si>
    <t>TASTE-AVERSION DISRUPTION BY DRUG PRETREATMENT - DISSOCIATIVE AND DRUG-SPECIFIC EFFECTS</t>
  </si>
  <si>
    <t>PHARMACOLOGY BIOCHEMISTRY AND BEHAVIOR</t>
  </si>
  <si>
    <t>Disruption of taste aversion learning [in rats] following the administration of the same drug prior to and during conditioning (intra-agent disruption) was shown to be greater than disruption following the administration of 1 drug prior to conditioning and another during conditioning (inter-agent disruption). Comparable dosages of ethanol and lithium chloride served as unconditioned stimuli. Inter-agent disruptions are attributed to a dissociation of conditioned and unconditioned stimuli, while intra-agent disruptions are attributed to both a dissociative effect and drug-specific effects. Intra-agent disruption was correlated with an independent measure of tolerance, suggesting tolerance constitutes at least a portion of the drug-specific effects.</t>
  </si>
  <si>
    <t>VET ADM HOSP, ALCOHOL RES 3D, SALT LAKE CITY, UT 84148 USA</t>
  </si>
  <si>
    <t>US Department of Veterans Affairs; Veterans Health Administration (VHA)</t>
  </si>
  <si>
    <t>0091-3057</t>
  </si>
  <si>
    <t>1873-5177</t>
  </si>
  <si>
    <t>PHARMACOL BIOCHEM BE</t>
  </si>
  <si>
    <t>Pharmacol. Biochem. Behav.</t>
  </si>
  <si>
    <t>10.1016/0091-3057(77)90164-2</t>
  </si>
  <si>
    <t>Behavioral Sciences; Neurosciences; Pharmacology &amp; Pharmacy</t>
  </si>
  <si>
    <t>Behavioral Sciences; Neurosciences &amp; Neurology; Pharmacology &amp; Pharmacy</t>
  </si>
  <si>
    <t>DB663</t>
  </si>
  <si>
    <t>WOS:A1977DB66300014</t>
  </si>
  <si>
    <t>Lima, GG; Camilo-Cotrim, CF; Silva, JAP; Firmino, MT; Silva, NA; Aguiar, ASN; Benvindo-Souza, M; Borges, LL; Caramori, SS; Bailao, EFLC; Almeida, LM</t>
  </si>
  <si>
    <t>Lima, Gabriela Gomes; Camilo-Cotrim, Carlos Filipe; Silva, Junilson Augusto Paula; Firmino, Myllena Tolentino; Silva, Natanael Alves; Aguiar, Antonio Sergio Nakao; Benvindo-Souza, Marcelino; Borges, Leonardo Luiz; Caramori, Samantha Salomao; Bailao, Elisa Flavia Luiz Cardoso; Almeida, Luciane Madureira</t>
  </si>
  <si>
    <t>Lithium chloride at environmental concentrations impairs microtubule function and promotes genotoxicity in Allium cepa</t>
  </si>
  <si>
    <t>SCIENTIFIC REPORTS</t>
  </si>
  <si>
    <t>Aneugenicity; Cytotoxicity; Ecotoxicology; Emerging contaminant; Microtubule disruption; Oxidative stress</t>
  </si>
  <si>
    <t>TOXICITY; ELEMENTS; TUBULIN; CELLS; FISH</t>
  </si>
  <si>
    <t>The growing demand for lithium, driven by the energy transition and widespread use of rechargeable batteries, has raised concerns about its environmental release. This study assessed the toxicological effects of lithium chloride (LiCl) at environmentally relevant concentrations using the Allium cepa bioassay. While lithium's genotoxicity at high concentrations is known, its effects at levels typical of aquatic systems (up to 4 mg/L) remain poorly understood. A set of biomarkers was applied to evaluate cytotoxicity, genotoxicity, oxidative stress, and in silico molecular interactions. LiCl exposure significantly reduced the mitotic index, indicating cytotoxic effects via impaired cell division. Increased chromosomal aberrations and nuclear abnormalities were observed, particularly at 4 mg/L, suggesting genotoxicity. However, the Comet assay revealed minimal DNA strand breaks, pointing to an aneugenic mechanism likely caused by mitotic spindle disruption rather than clastogenic effects. Cell cycle analysis showed reduced metaphase and increased anaphase frequencies, reinforcing the hypothesis of chromosomal missegregation. In silico modeling demonstrated strong interactions between Li+ ions and tubulin, potentially affecting spindle stability. Additionally, altered superoxide dismutase (SOD) activity indicated oxidative stress involvement. Overall, lithium at environmentally realistic concentrations induces cytotoxic and genotoxic effects in A. cepa, primarily through aneugenic mechanisms linked to oxidative stress and microtubule disruption.</t>
  </si>
  <si>
    <t>[Lima, Gabriela Gomes; Camilo-Cotrim, Carlos Filipe; Silva, Junilson Augusto Paula; Firmino, Myllena Tolentino; Silva, Natanael Alves; Benvindo-Souza, Marcelino; Caramori, Samantha Salomao; Bailao, Elisa Flavia Luiz Cardoso; Almeida, Luciane Madureira] Univ Estadual Goias, Lab Biotecnol, BR 153,3105 Fazenda Barreiro Meio Henrique Santill, BR-75132400 Anapolis, GO, Brazil; [Aguiar, Antonio Sergio Nakao] Univ Evangel Goias, Lab Novos Mat, BR-75083515 Anapolis, GO, Brazil; [Borges, Leonardo Luiz] Univ Estadual Goias, Grp Quim Teor &amp; Estrutural Anapolis, BR-75132903 Anapolis, GO, Brazil; [Borges, Leonardo Luiz] Pontificia Univ Catolica Goias, Escola Ciencias Med &amp; Vida, Goiania, GO, Brazil</t>
  </si>
  <si>
    <t>Universidade Estadual de Goias; Universidade Estadual de Goias; Pontificia Universidade Catolica de Goias</t>
  </si>
  <si>
    <t>Almeida, LM (corresponding author), Univ Estadual Goias, Lab Biotecnol, BR 153,3105 Fazenda Barreiro Meio Henrique Santill, BR-75132400 Anapolis, GO, Brazil.</t>
  </si>
  <si>
    <t>luciane.almeida@ueg.br</t>
  </si>
  <si>
    <t>Luiz Cardoso Bailão, Elisa Flávia/HSF-7823-2023; Borges, Leonardo/AAI-5440-2021; Benvindo-Souza, Marcelino/AAN-7638-2020; Almeida, Luciane/O-6674-2018; Camilo Cotrim, Carlos Filipe/GLN-3212-2022</t>
  </si>
  <si>
    <t>Camilo Cotrim, Carlos Filipe/0000-0001-8173-5110</t>
  </si>
  <si>
    <t>Universidade Estadual de Gois [Call No. 42/2023 (Institutional Strategic Project - Water Security Program, No. 20/2023), under SEI Process No. 202300020023318]; Conselho Nacional de Desenvolvimento Cientfico e Tecnolgico [Rede Hidro-Cerrado (Call No. 20/2023)]</t>
  </si>
  <si>
    <t>Universidade Estadual de Gois; Conselho Nacional de Desenvolvimento Cientfico e Tecnolgico</t>
  </si>
  <si>
    <t>The authors gratefully acknowledge the financial support provided by the State University of Goias (Universidade Estadual de Goias - UEG) through Call No. 42/2023 (Institutional Strategic Project - Water Security Program, No. 20/2023), under SEI Process No. 202300020023318 and Grant Agreement No. 69/2023. We also thank the Rede Hidro-Cerrado (Research and Development Network of the Central-West Region, Call No. 20/2023) for its support. LMA acknowledges the National Council for Scientific and Technological Development (CNPq, Brazil) for the Research Productivity Fellowship (Grant No. 305180/2025-8). The authors further express their gratitude to the Coordenac &amp; atilde;o de Aperfeicoamento de Pessoal de Nivel Superior (CAPES) for providing scholarships to students GGL, CFCC, JAPS, and MTF, whose contributions were essential to the development of this project.</t>
  </si>
  <si>
    <t>2045-2322</t>
  </si>
  <si>
    <t>SCI REP-UK</t>
  </si>
  <si>
    <t>Sci Rep</t>
  </si>
  <si>
    <t>OCT 28</t>
  </si>
  <si>
    <t>10.1038/s41598-025-21567-5</t>
  </si>
  <si>
    <t>9EV8W</t>
  </si>
  <si>
    <t>WOS:001604675000020</t>
  </si>
  <si>
    <t>trade-related mineral supply risk; lithium; power system transition; system dynamics</t>
  </si>
  <si>
    <t>Tsinghua University; Tsinghua University</t>
  </si>
  <si>
    <t>National Natural Science Foun-dation of China [72348001, T2261129475]; Science and Technology Program of State Grid Zhejiang Electric Power Co., Ltd. [5211JY250009]</t>
  </si>
  <si>
    <t>National Natural Science Foun-dation of China(National Natural Science Foundation of China (NSFC)); Science and Technology Program of State Grid Zhejiang Electric Power Co., Ltd.</t>
  </si>
  <si>
    <t>The research was supported by the National Natural Science Foun-dation of China (No. 72348001 and No. T2261129475) , and by the Science and Technology Program of State Grid Zhejiang Electric Power Co., Ltd. under Grant No. 5211JY250009. We gratefully acknowledge Dr. Qiu Yang (Pacific Northwest National Laboratory, Joint Global Change Research Institute) for his valuable input and constructive sug-gestions, which helped to clarify several methodological points and to improve the interpretation of our results.</t>
  </si>
  <si>
    <t>0959-6526</t>
  </si>
  <si>
    <t>1879-1786</t>
  </si>
  <si>
    <t>J CLEAN PROD</t>
  </si>
  <si>
    <t>J. Clean Prod.</t>
  </si>
  <si>
    <t>Green &amp; Sustainable Science &amp; Technology; Engineering, Environmental; Environmental Sciences</t>
  </si>
  <si>
    <t>Science &amp; Technology - Other Topics; Engineering; Environmental Sciences &amp; Ecology</t>
  </si>
  <si>
    <t>FC3CJ</t>
  </si>
  <si>
    <t>Daniels, JP; Felde, A</t>
  </si>
  <si>
    <t>Daniels, John P.; Felde, Anne</t>
  </si>
  <si>
    <t>Quetiapine treatment for mania secondary to brain injury in 2 patients</t>
  </si>
  <si>
    <t>JOURNAL OF CLINICAL PSYCHIATRY</t>
  </si>
  <si>
    <t>Letter</t>
  </si>
  <si>
    <t>HEAD-INJURY; AFFECTIVE-DISORDER; BIPOLAR-DISORDER; RECOVERY; DAMAGE; HALOPERIDOL; DISRUPTION; LITHIUM; TRAUMA; RATS</t>
  </si>
  <si>
    <t>[Daniels, John P.; Felde, Anne] Minneapolis VA Med Ctr, Minneapolis, MN USA</t>
  </si>
  <si>
    <t>US Department of Veterans Affairs; Veterans Health Administration (VHA); Minneapolis VA Health Care System</t>
  </si>
  <si>
    <t>Daniels, JP (corresponding author), Minneapolis VA Med Ctr, Minneapolis, MN USA.</t>
  </si>
  <si>
    <t>PHYSICIANS POSTGRADUATE PRESS</t>
  </si>
  <si>
    <t>MEMPHIS</t>
  </si>
  <si>
    <t>P O BOX 240008, MEMPHIS, TN 38124 USA</t>
  </si>
  <si>
    <t>0160-6689</t>
  </si>
  <si>
    <t>J CLIN PSYCHIAT</t>
  </si>
  <si>
    <t>J. Clin. Psychiatry</t>
  </si>
  <si>
    <t>10.4088/JCP.v69n0324a</t>
  </si>
  <si>
    <t>Psychology, Clinical; Psychiatry</t>
  </si>
  <si>
    <t>Science Citation Index Expanded (SCI-EXPANDED); Social Science Citation Index (SSCI)</t>
  </si>
  <si>
    <t>Psychology; Psychiatry</t>
  </si>
  <si>
    <t>283LL</t>
  </si>
  <si>
    <t>Bronze</t>
  </si>
  <si>
    <t>WOS:000254637600024</t>
  </si>
  <si>
    <t>LITHIUM-INDUCED DISRUPTION OF CELL SIGNALING IN BRAIN - EVIDENCE IMPLICATING THE PHOSPHOINOSITIDE CYCLE</t>
  </si>
  <si>
    <t>PHARMACOLOGY &amp; TOXICOLOGY</t>
  </si>
  <si>
    <t>SATELLITE SYMP ON THE BIOLOGY AND PHARMACOTHERAPY OF MANIC-DEPRESSIVE DISORDERS : FROM MOLECULAR THEORIES TO CLINICAL-PRACTICE, AT THE 18TH CINP CONGRESS</t>
  </si>
  <si>
    <t>JUN 24-26, 1992</t>
  </si>
  <si>
    <t>UNIV COPENHAGEN, DEPT PHARMACOL, COPENHAGEN, DENMARK</t>
  </si>
  <si>
    <t>CINP,DANISH MED RES COUNCIL,JANSSENPHARMA,ELI LILLY DENMARK,AP MOLLERS FOND,NOVO NORDISK,ORGANON,ROCHE,SCHERING BERLIN,SYNTHELABO SCANDINAVIA</t>
  </si>
  <si>
    <t>UNIV COPENHAGEN, DEPT PHARMACOL</t>
  </si>
  <si>
    <t>INOSITOL POLYPHOSPHATE ACCUMULATION; RAT CEREBRAL-CORTEX; UNCOMPETITIVE INHIBITION; BOVINE BRAIN; HOMEOSTASIS</t>
  </si>
  <si>
    <t>NAHORSKI, SR (corresponding author), UNIV LEICESTER,DEPT PHARMACOL &amp; THERAPEUT,MED SCI BLDG,UNIV RD,LEICESTER LE1 9HN,ENGLAND.</t>
  </si>
  <si>
    <t>MUNKSGAARD INT PUBL LTD</t>
  </si>
  <si>
    <t>COPENHAGEN</t>
  </si>
  <si>
    <t>35 NORRE SOGADE, PO BOX 2148, DK-1016 COPENHAGEN, DENMARK</t>
  </si>
  <si>
    <t>0901-9928</t>
  </si>
  <si>
    <t>PHARMACOL TOXICOL</t>
  </si>
  <si>
    <t>Pharmacol. Toxicol.</t>
  </si>
  <si>
    <t>10.1111/j.1600-0773.1992.tb01628.x</t>
  </si>
  <si>
    <t>Pharmacology &amp; Pharmacy; Toxicology</t>
  </si>
  <si>
    <t>KA431</t>
  </si>
  <si>
    <t>WOS:A1992KA43100006</t>
  </si>
  <si>
    <t>Zhang, SG; Kan, HL; Zhai, KL; Ma, XR; Luo, YM; Hu, ML; Wang, QY</t>
  </si>
  <si>
    <t>Zhang, Shuanggen; Kan, Hongli; Zhai, Kaili; Ma, Xiurong; Luo, Yiming; Hu, Minglie; Wang, Qingyue</t>
  </si>
  <si>
    <t>Periodic disruptions induced by high repetition rate femtosecond pulses on magnesium-oxide-doped lithium niobate surfaces</t>
  </si>
  <si>
    <t>LASER PHYSICS</t>
  </si>
  <si>
    <t>femtosecond laser; MgO:LN; microstructure; anisotropic property</t>
  </si>
  <si>
    <t>WAVE-GUIDE; LASER; ABLATION; CRYSTAL; LINBO3; DAMAGE; FILMS</t>
  </si>
  <si>
    <t>In this paper, we demonstrate the periodic disruption formation on magnesium-oxide-doped lithium niobate surfaces by a femtosecond fiber laser system with wavelength and repetition rate of 1040 nm and 52 MHz, respectively. Three main experimental conditions, laser average power, scanning speed, and orientation of sample were systematically studied. In particular, the ablation morphologies of periodic disruptions under different crystal orientations were specifically researched. The result shows that such disruptions consisting of a bamboo-like inner structure appears periodically for focusing on the surface of X-, Y- and Z-cut wafers, which are formed by a rapid quenching of the material. Meanwhile, due to the anisotropic property, the bamboo-like inner structures consist of a cavity only arise from X-and Z-cut orientation.</t>
  </si>
  <si>
    <t>[Zhang, Shuanggen; Kan, Hongli; Zhai, Kaili; Ma, Xiurong] Tianjin Univ Technol, Tianjin Key Lab Film Elect &amp; Commun Device, Engn Res Ctr Commun Devices, Minist Educ,Sch Elect Informat Engn, Tianjin, Peoples R China; [Luo, Yiming; Hu, Minglie; Wang, Qingyue] Tianjin Univ, Ultrafast Laser Lab, Coll Precis Instruments &amp; Optoelect Engn, Tianjin, Peoples R China</t>
  </si>
  <si>
    <t>Tianjin University of Technology; Tianjin University</t>
  </si>
  <si>
    <t>Zhang, SG (corresponding author), Tianjin Univ Technol, Tianjin Key Lab Film Elect &amp; Commun Device, Engn Res Ctr Commun Devices, Minist Educ,Sch Elect Informat Engn, Tianjin, Peoples R China.</t>
  </si>
  <si>
    <t>shgzhang@tjut.edu.cn</t>
  </si>
  <si>
    <t>Hu, Minglie/C-9071-2009</t>
  </si>
  <si>
    <t>National Natural Science Foundation of China [11004152]; China Postdoctoral Science Foundation [2013M541173]; Tianjin Research Program of Application Foundation and Advanced Technology [15JCQNJC01100]</t>
  </si>
  <si>
    <t>National Natural Science Foundation of China(National Natural Science Foundation of China (NSFC)); China Postdoctoral Science Foundation(China Postdoctoral Science Foundation); Tianjin Research Program of Application Foundation and Advanced Technology</t>
  </si>
  <si>
    <t>This work was supported by the National Natural Science Foundation of China (No. 11004152), China Postdoctoral Science Foundation funded project (No. 2013M541173), and Tianjin Research Program of Application Foundation and Advanced Technology (15JCQNJC01100).</t>
  </si>
  <si>
    <t>IOP PUBLISHING LTD</t>
  </si>
  <si>
    <t>BRISTOL</t>
  </si>
  <si>
    <t>TEMPLE CIRCUS, TEMPLE WAY, BRISTOL BS1 6BE, ENGLAND</t>
  </si>
  <si>
    <t>1054-660X</t>
  </si>
  <si>
    <t>1555-6611</t>
  </si>
  <si>
    <t>LASER PHYS</t>
  </si>
  <si>
    <t>Laser Phys.</t>
  </si>
  <si>
    <t>10.1088/1555-6611/aa4ff2</t>
  </si>
  <si>
    <t>Optics; Physics, Applied</t>
  </si>
  <si>
    <t>Optics; Physics</t>
  </si>
  <si>
    <t>EK1BJ</t>
  </si>
  <si>
    <t>WOS:000393660500001</t>
  </si>
  <si>
    <t>Yarimizu, T; Shimoi, H; Sameshima-Yamashita, Y; Morita, T; Koike, H; Watanabe, T; Kitamoto, H</t>
  </si>
  <si>
    <t>Yarimizu, Tohru; Shimoi, Hitoshi; Sameshima-Yamashita, Yuka; Morita, Tomotake; Koike, Hideaki; Watanabe, Takashi; Kitamoto, Hiroko</t>
  </si>
  <si>
    <t>Targeted gene replacement at the URA3 locus of the basidiomycetous yeast Pseudozyma antarctica and its transformation using lithium acetate treatment</t>
  </si>
  <si>
    <t>YEAST</t>
  </si>
  <si>
    <t>Pseudozyma antarctica; auxotrophic mutant; transformation marker; gene disruption; electroporation; lithium acetate treatment</t>
  </si>
  <si>
    <t>MANNOSYLERYTHRITOL LIPIDS; SACCHAROMYCES-CEREVISIAE; PICHIA-PASTORIS; PROTEIN EXPRESSION; DELETION STRAINS; DNA; CONSTRUCTION; FLOCCULOSA; DISRUPTION; RESISTANCE</t>
  </si>
  <si>
    <t>The basidiomycetous yeast Pseudozyma antarctica is a remarkable producer of industrially valuable enzymes and extracellular glycolipids. In this study, we developed a method for targeted gene replacement in P. antarctica. In addition, transformation conditions were optimized using lithium acetate, single-stranded carrier DNA and polyethylene glycol (lithium acetate treatment), generally used for ascomycetous yeast transformation. In the rice-derived P. antarctica strain GB-4(0), PaURA3, a homologue of the Saccharomyces cerevisiae orotidine-5-phosphate decarboxylase gene (URA3), was selected as the target locus. A disruption cassette was constructed by linking the nouseothricine resistance gene (natMX4) to homologous DNA fragments of PaURA3, then electroporated into the strain GB-4(0). We obtained strain PGB015 as one of the PaURA3 disruptants (Paura3::natMX4). Then the PCR-amplified PaURA3 fragment was introduced into PGB015, and growth of transformant colonies but not background colonies was observed on selective media lacking uracil. The complementation of uracil-auxotrophy in PGB015 by introduction of PaURA3 was also performed using lithium acetate treatment, which resulted in a transformation efficiency of 985CFU/6.8g DNA and a gene-targeting ratio of two among 30 transformants. Copyright (c) 2017 John Wiley &amp; Sons, Ltd.</t>
  </si>
  <si>
    <t>[Yarimizu, Tohru; Shimoi, Hitoshi; Sameshima-Yamashita, Yuka; Watanabe, Takashi; Kitamoto, Hiroko] Natl Agr &amp; Food Res Org, Inst Agroenvironm Sci, 3-1-3 Kannondai, Tsukuba, Ibaraki 3058604, Japan; [Morita, Tomotake] Natl Inst Adv Ind Sci &amp; Technol, Res Inst Innovat Sustainable Chem, Tsukuba Cent 5-2,1-1 Higashi, Tsukuba, Ibaraki 3058565, Japan; [Koike, Hideaki] Natl Inst Adv Ind Sci &amp; Technol, Bioproc Res Inst, Tsukuba Cent 6,1-1-1 Higashi, Tsukuba, Ibaraki 3058566, Japan; [Shimoi, Hitoshi] Iwate Univ, Dept Biol Chem &amp; Food Sci, 3-18-8 Ueda, Morioka, Iwate 0208550, Japan; [Watanabe, Takashi] Gunma Ind Technol Ctr, 884-1 Kamesato, Maebashi, Gunma 3792147, Japan</t>
  </si>
  <si>
    <t>National Agriculture &amp; Food Research Organization - Japan; National Institute of Advanced Industrial Science &amp; Technology (AIST); National Institute of Advanced Industrial Science &amp; Technology (AIST); Iwate University</t>
  </si>
  <si>
    <t>Kitamoto, H (corresponding author), Natl Agr &amp; Food Res Org, Inst Agroenvironm Sci, 3-1-3 Kannondai, Tsukuba, Ibaraki 3058604, Japan.</t>
  </si>
  <si>
    <t>kitamoto@affrc.go.jp</t>
  </si>
  <si>
    <t>Morita, Tomotake/L-7073-2018</t>
  </si>
  <si>
    <t>Morita, Tomotake/0000-0001-6956-3096; Kitamoto, Hiroko/0000-0003-0086-4696</t>
  </si>
  <si>
    <t>Ministry of Agriculture, Forestry and Fisheries (Japan) [25017AB]</t>
  </si>
  <si>
    <t>Ministry of Agriculture, Forestry and Fisheries (Japan)(Ministry of Agriculture Forestry &amp; Fisheries - Japan)</t>
  </si>
  <si>
    <t>We wish to thank Professor Haruyuki Iefuji (Ehime University, Japan) and Professor Rinji Akada (Yamaguchi University, Japan) for their helpful comments, and Mrs Xiao-hong Cao for her technical assistance. This work was supported by a grant from the Science and Technology Research Promotion Program (25017AB) for Agriculture, Forestry, Fisheries, and Food Industry from Ministry of Agriculture, Forestry and Fisheries (Japan). There is no conflict of interest in this paper.</t>
  </si>
  <si>
    <t>0749-503X</t>
  </si>
  <si>
    <t>1097-0061</t>
  </si>
  <si>
    <t>Yeast</t>
  </si>
  <si>
    <t>10.1002/yea.3251</t>
  </si>
  <si>
    <t>Biochemistry &amp; Molecular Biology; Biotechnology &amp; Applied Microbiology; Microbiology; Mycology</t>
  </si>
  <si>
    <t>FO8IM</t>
  </si>
  <si>
    <t>WOS:000417129100002</t>
  </si>
  <si>
    <t>Ong, JC; Brody, SA; Large, CH; Geyer, MA</t>
  </si>
  <si>
    <t>An investigation of the efficacy of mood stabilizers in rodent models of prepulse inhibition</t>
  </si>
  <si>
    <t>JOURNAL OF PHARMACOLOGY AND EXPERIMENTAL THERAPEUTICS</t>
  </si>
  <si>
    <t>SENSORIMOTOR GATING DEFICITS; CHRONIC LITHIUM TREATMENT; BIPOLAR DISORDER; SCHIZOPHRENIA; AMPHETAMINE; LAMOTRIGINE; VALPROATE; MICE; ANTICONVULSANT; CARBAMAZEPINE</t>
  </si>
  <si>
    <t>Acutely manic bipolar patients, like patients with schizophrenia, Tourette's syndrome, panic disorder, and obsessive compulsive disorder, exhibit deficits in sensorimotor gating, as measured by prepulse inhibition (PPI) of the startle response. Here, we assessed the ability of four drugs used in the treatment of bipolar mania-phenytoin, carbamazepine, valproate, and lithium-to reduce the PPI-disruptive effects of ketamine or amphetamine in the 129SvPaslco inbred strain of mice. For comparison, we also assessed the interaction of lithium and amphetamine in C57BL/6J mice. This set of studies yielded four major results. 1) Lithium chloride (85 mg/kg) prevented amphetamine-induced but not ketamine-induced disruption of PPI in both strains of mice. 2) Carbamazepine (50 mg/kg) prevented ketamine-induced but not amphetamine- induced disruption of PPI. 3) Sodium valproate (100 mg/kg) did not prevent amphetamine- or ketamine-induced disruption of PPI. 4) Phenytoin (30 mg/ kg) did not prevent amphetamine- or ketamine-induced disruption of PPI but increased PPI on its own. These studies did not reveal a consistent relationship between the ability of a drug to protect PPI from disruption by ketamine or amphetamine and efficacy in the treatment of bipolar mania. Instead, the diverse effect profiles of these four treatments in reversing the PPI deficits produced by amphetamine or ketamine in mice presumably reflect the differences in their respective pharmacological mechanisms. Hence, further studies using these dopaminergic and glutamatergic models of deficient PPI may provide valuable insights into the mechanisms underlying the differential therapeutic effects of antimanic and mood-stabilizing treatments.</t>
  </si>
  <si>
    <t>Univ Calif San Diego, Dept Psychiat, La Jolla, CA 92093 USA; GlaxoSmithKline SPA, Psychiat Ctr Excellence Drug Discovery, Verona, Italy</t>
  </si>
  <si>
    <t>University of California System; University of California San Diego; GlaxoSmithKline; GlaxoSmithKline Italy</t>
  </si>
  <si>
    <t>Geyer, MA (corresponding author), Univ Calif San Diego, Dept Psychiat, 9500 Gilman Dr, La Jolla, CA 92093 USA.</t>
  </si>
  <si>
    <t>mgeyer@ucsd.edu</t>
  </si>
  <si>
    <t>NIMH NIH HHS [R01 MH071916, MH12961, MH71916, F31 MH012961] Funding Source: Medline</t>
  </si>
  <si>
    <t>NIMH NIH HHS(United States Department of Health &amp; Human ServicesNational Institutes of Health (NIH) - USANIH National Institute of Mental Health (NIMH))</t>
  </si>
  <si>
    <t>0022-3565</t>
  </si>
  <si>
    <t>1521-0103</t>
  </si>
  <si>
    <t>J PHARMACOL EXP THER</t>
  </si>
  <si>
    <t>J. Pharmacol. Exp. Ther.</t>
  </si>
  <si>
    <t>10.1124/jpet.105.090845</t>
  </si>
  <si>
    <t>984VZ</t>
  </si>
  <si>
    <t>WOS:000233335100024</t>
  </si>
  <si>
    <t>Li, J; Lu, WQ; Beesley, S; Loudon, ASI; Meng, QJ</t>
  </si>
  <si>
    <t>Li, Jian; Lu, Wei-Qun; Beesley, Stephen; Loudon, Andrew S. I.; Meng, Qing-Jun</t>
  </si>
  <si>
    <t>Lithium Impacts on the Amplitude and Period of the Molecular Circadian Clockwork</t>
  </si>
  <si>
    <t>PLOS ONE</t>
  </si>
  <si>
    <t>GLYCOGEN-SYNTHASE KINASE-3-BETA; GENE-EXPRESSION; REAL-TIME; REV-ERB; RHYTHMS; PHOSPHORYLATION; CELLS; REVEALS; MAMMALS; BIOLOGY</t>
  </si>
  <si>
    <t>Lithium salt has been widely used in treatment of Bipolar Disorder, a mental disturbance associated with circadian rhythm disruptions. Lithium mildly but consistently lengthens circadian period of behavioural rhythms in multiple organisms. To systematically address the impacts of lithium on circadian pacemaking and the underlying mechanisms, we measured locomotor activity in mice in vivo following chronic lithium treatment, and also tracked clock protein dynamics (PER2::Luciferase) in vitro in lithium-treated tissue slices/cells. Lithium lengthens period of both the locomotor activity rhythms, as well as the molecular oscillations in the suprachiasmatic nucleus, lung tissues and fibroblast cells. In addition, we also identified significantly elevated PER2::LUC expression and oscillation amplitude in both central and peripheral pacemakers. Elevation of PER2::LUC by lithium was not associated with changes in protein stabilities of PER2, but instead with increased transcription of Per2 gene. Although lithium and GSK3 inhibition showed opposing effects on clock period, they acted in a similar fashion to up-regulate PER2 expression and oscillation amplitude. Collectively, our data have identified a novel amplitude-enhancing effect of lithium on the PER2 protein rhythms in the central and peripheral circadian clockwork, which may involve a GSK3-mediated signalling pathway. These findings may advance our understanding of the therapeutic actions of lithium in Bipolar Disorder or other psychiatric diseases that involve circadian rhythm disruptions.</t>
  </si>
  <si>
    <t>[Li, Jian; Beesley, Stephen; Loudon, Andrew S. I.; Meng, Qing-Jun] Univ Manchester, Fac Life Sci, Manchester, Lancs, England; [Lu, Wei-Qun] Shanghai Ocean Univ, Fac Fisheries &amp; Life Sci, Shanghai, Peoples R China</t>
  </si>
  <si>
    <t>University of Manchester; Shanghai Ocean University</t>
  </si>
  <si>
    <t>Li, J (corresponding author), Univ Manchester, Fac Life Sci, Manchester, Lancs, England.</t>
  </si>
  <si>
    <t>Andrew.Loudon@manchester.ac.uk; Qing-Jun.Meng@manchester.ac.uk</t>
  </si>
  <si>
    <t>; beesley, stephen/B-4841-2017</t>
  </si>
  <si>
    <t>Meng, Qing Jun/0000-0002-9426-8336; Loudon, Andrew/0000-0003-3648-445X; beesley, stephen/0000-0001-6010-124X</t>
  </si>
  <si>
    <t>Medical Research Council [G0900414]; Biotechnology and Biological Sciences Research Council [BB/E022553/1]; Biotechnology and Biological Sciences Research Council [BB/E022553/1] Funding Source: researchfish; Medical Research Council [G0900414] Funding Source: researchfish; BBSRC [BB/E022553/1] Funding Source: UKRI; MRC [G0900414] Funding Source: UKRI</t>
  </si>
  <si>
    <t>Medical Research Council(UK Research &amp; Innovation (UKRI)Medical Research Council UK (MRC)); Biotechnology and Biological Sciences Research Council(UK Research &amp; Innovation (UKRI)Biotechnology and Biological Sciences Research Council (BBSRC)); Biotechnology and Biological Sciences Research Council(UK Research &amp; Innovation (UKRI)Biotechnology and Biological Sciences Research Council (BBSRC)); Medical Research Council(UK Research &amp; Innovation (UKRI)Medical Research Council UK (MRC)); BBSRC(UK Research &amp; Innovation (UKRI)Biotechnology and Biological Sciences Research Council (BBSRC)); MRC(UK Research &amp; Innovation (UKRI)Medical Research Council UK (MRC))</t>
  </si>
  <si>
    <t>The authors thank the Medical Research Council (Career Development Award to QM, G0900414) and the Biotechnology and Biological Sciences Research Council (BB/E022553/1) for financial support. The funders had no role in study design, data collection and analysis, decision to publish, or preparation of the manuscript.</t>
  </si>
  <si>
    <t>PUBLIC LIBRARY SCIENCE</t>
  </si>
  <si>
    <t>SAN FRANCISCO</t>
  </si>
  <si>
    <t>185 BERRY ST, STE 1300, SAN FRANCISCO, CA 94107 USA</t>
  </si>
  <si>
    <t>1932-6203</t>
  </si>
  <si>
    <t>PLoS One</t>
  </si>
  <si>
    <t>MAR 12</t>
  </si>
  <si>
    <t>e33292</t>
  </si>
  <si>
    <t>10.1371/journal.pone.0033292</t>
  </si>
  <si>
    <t>920DF</t>
  </si>
  <si>
    <t>WOS:000302381500121</t>
  </si>
  <si>
    <t>Chevalier, N; Guillou, P; Viguié, C; Fini, JB; Sachs, LM; Michel-Caillet, C; Mhaouty-Kodja, S</t>
  </si>
  <si>
    <t>Chevalier, Nicolas; Guillou, Pauline; Viguie, Catherine; Fini, Jean-Baptiste; Sachs, Laurent M.; Michel-Caillet, Cecile; Mhaouty-Kodja, Sakina</t>
  </si>
  <si>
    <t>Lithium and endocrine disruption: A concern for human health?</t>
  </si>
  <si>
    <t>ENVIRONMENT INTERNATIONAL</t>
  </si>
  <si>
    <t>Lithium; Endocrine disruption; Thyroid hormones; Neurodevelopment; Human health; Risk assessment</t>
  </si>
  <si>
    <t>THYROID-HORMONES; BIPOLAR DISORDER; DEVELOPMENTAL OUTCOMES; BEHAVIORAL ACTIVITY; EARLY-PREGNANCY; EXPOSURE; HYPOTHYROIDISM; THYROXINE; CARBONATE; PROFILES</t>
  </si>
  <si>
    <t>Lithium is a key medication for the treatment of psychiatric disorders and is also used in various industrial applications (including battery production and recycling). Here, we review published data on the endocrinedisrupting potential of lithium, with a particular focus on the thyroid hormone system. To this end, we used PubMed and Scopus databases to search for, select and review primary research addressing human and animal health endpoints during or after lithium exposure at non-teratogenic doses. Given the key role of thyroid hormones in neurodevelopmental processes, we focused at studies of the neural effects of developmental exposure to lithium in humans and animals. Our results show that lithium meets the World Health Organization's definition of a thyroid hormone system disruptor - particularly when used at therapeutic doses. When combined with knowledge of adverse outcome pathways linking molecular initiating events targeting thyroid function and neurodevelopmental outcomes, the neurodevelopmental data reported in animal experiments prompt us to suggest that lithium influences neurodevelopment. However, we cannot rule out the involvement of additional modes of action (i.e. unrelated to the thyroid hormone system) in the described neural effects. Given the increasing use of lithium salts in new technologies, attention must be paid to this emerging pollutant - particularly with regard to its potential effects at environmental doses on the thyroid hormone system and potential consequences on the developing nervous system.</t>
  </si>
  <si>
    <t>[Chevalier, Nicolas] Univ Cote Azur, CHU, INSERM U1065, Nice, France; [Guillou, Pauline; Michel-Caillet, Cecile] ANSES, Risk Assessment Dept, Maisons Alfort, France; [Viguie, Catherine] UPS, ENVT, Toxalim Res Ctr Food Toxicol, INRAE,INP Purpan, Toulouse, France; [Fini, Jean-Baptiste; Sachs, Laurent M.] CNRS, UMR Physiol Mol &amp; Adaptat 7221, Dept Adaptat Vivant, CNRS UMR 7221, Paris, France; [Fini, Jean-Baptiste; Sachs, Laurent M.] Museum Natl Hist Nat, CP32, Paris, France; [Mhaouty-Kodja, Sakina] Sorbonne Univ, Inst Biol Paris Seine, CNRS UMR 8246, INSERM U1130,Neurosci Paris Seine, Paris, France</t>
  </si>
  <si>
    <t>Institut National de la Sante et de la Recherche Medicale (Inserm); CHU Nice; Universite Cote d'Azur; Agence Nationale de Securite Sanitaire de l'Alimentation, de l'Environnement du Travail (ANSES); INRAE; Ecole d'ingenieurs de Purpan; Universite de Toulouse; Universite Toulouse III - Paul Sabatier; Ecole Nationale Veterinaire de Toulouse; Centre National de la Recherche Scientifique (CNRS); CNRS - National Institute for Biology (INSB); Museum National d'Histoire Naturelle (MNHN); Centre National de la Recherche Scientifique (CNRS); CNRS - National Institute for Biology (INSB); Institut National de la Sante et de la Recherche Medicale (Inserm); Sorbonne Universite</t>
  </si>
  <si>
    <t>Mhaouty-Kodja, S (corresponding author), Sorbonne Univ, CNRS UMR 8246, INSERM U1130, 7 Quai St Bernard,Bat 3eme etage, F-75005 Paris, France.</t>
  </si>
  <si>
    <t>sakina.mhaouty-kodja@sorbonne-universite.fr</t>
  </si>
  <si>
    <t>Michel, Cécile/Q-1096-2017; Sachs, Laurent/AAE-1504-2020; Fini, Jean-Baptiste/JHT-7957-2023; CHEVALIER, Nicolas/HTL-6875-2023</t>
  </si>
  <si>
    <t>CHEVALIER, Nicolas/0000-0001-7160-4301; Mhaouty-Kodja, Sakina/0000-0001-9743-5243</t>
  </si>
  <si>
    <t>0160-4120</t>
  </si>
  <si>
    <t>1873-6750</t>
  </si>
  <si>
    <t>ENVIRON INT</t>
  </si>
  <si>
    <t>Environ. Int.</t>
  </si>
  <si>
    <t>10.1016/j.envint.2024.108861</t>
  </si>
  <si>
    <t>AUG 2024</t>
  </si>
  <si>
    <t>Environmental Sciences</t>
  </si>
  <si>
    <t>E0Q6I</t>
  </si>
  <si>
    <t>WOS:001300141900001</t>
  </si>
  <si>
    <t>Mirnov, SV; Alekseev, AG; Belov, AM; Prokhorov, AS; Speranskii, NN; Prokhorov, DY</t>
  </si>
  <si>
    <t>Mirnov, S. V.; Alekseev, A. G.; Belov, A. M.; Prokhorov, A. S.; Speranskii, N. N.; Prokhorov, D. Yu.</t>
  </si>
  <si>
    <t>On the nature of dark spots arising in a tokamak plasma during a disruption</t>
  </si>
  <si>
    <t>PLASMA PHYSICS REPORTS</t>
  </si>
  <si>
    <t>The sudden appearance of bright and dark spots against the background lithium emission from the central regions of the plasma column was observed during major plasma disruptions in the T-11M tokamak with a lithium limiter. The measurements were performed with the help of an AXUV photodiode array operating in the energy range 1-5000 eV. Such spots in the plasma core arise in the fast transient stage of a major disruption (during the onset of the positive pulse of the plasma current) and are rather narrowly localized over r (in particular, over the vertical axis). it is supposed that the observed dark spots are related to the development of magnetic islands induced in the plasma core by an outer MHD perturbation. This effect can be used as a tool for studying specific forms of MHD resonance.</t>
  </si>
  <si>
    <t>Troitsk Inst Innovat &amp; Fus Res, Troitsk 142190, Moscow Region, Russia</t>
  </si>
  <si>
    <t>Mirnov, SV (corresponding author), Troitsk Inst Innovat &amp; Fus Res, Troitsk 142190, Moscow Region, Russia.</t>
  </si>
  <si>
    <t>/M-6953-2013</t>
  </si>
  <si>
    <t>Belov, Alexander/0000-0001-9348-5163</t>
  </si>
  <si>
    <t>MAIK NAUKA/INTERPERIODICA/SPRINGER</t>
  </si>
  <si>
    <t>NEW YORK</t>
  </si>
  <si>
    <t>233 SPRING ST, NEW YORK, NY 10013-1578 USA</t>
  </si>
  <si>
    <t>1063-780X</t>
  </si>
  <si>
    <t>PLASMA PHYS REP+</t>
  </si>
  <si>
    <t>Plasma Phys. Rep.</t>
  </si>
  <si>
    <t>10.1134/S1063780X07080016</t>
  </si>
  <si>
    <t>Physics, Fluids &amp; Plasmas</t>
  </si>
  <si>
    <t>Physics</t>
  </si>
  <si>
    <t>207HF</t>
  </si>
  <si>
    <t>WOS:000249241500001</t>
  </si>
  <si>
    <t>Hassanein, A; Allain, JP; Insepov, Z; Konkashbaev, I</t>
  </si>
  <si>
    <t>Plasma/liquid-metal interactions during tokamak operation</t>
  </si>
  <si>
    <t>FUSION SCIENCE AND TECHNOLOGY</t>
  </si>
  <si>
    <t>17th Topical Meeting on the Technology of Fusion Energy</t>
  </si>
  <si>
    <t>SEP 14-16, 2004</t>
  </si>
  <si>
    <t>Madison, WI</t>
  </si>
  <si>
    <t>Amer Nucl Soc Fusion Energy Div,Amer Nucl Soc Wisconsin Local Sect,Atomic Energy Soc Japan Fusion Energy Div,US DOE,Univ Wisconsin Madison</t>
  </si>
  <si>
    <t>PLASMA-FACING COMPONENTS; LIQUID LITHIUM; EROSION; INSTABILITIES; DISRUPTION; HYDROGEN; DIVERTOR; HE</t>
  </si>
  <si>
    <t>One of the critical technological challenges of future tokamak fusion devices is the ability for plasma-facing components to handle both normal and abnormal plasma/surface interaction events that compromise their lifetime and operation of the machine. Under normal operation plasma/surface interactions that are important include: sputtering, particle implantation and recycling, He pumping and ELM (edge localized modes)-induced erosion. In abnormal or off-normal operation: disruptions and vertical displacement events (VDEs) are important. To extend PFC lifetime under these conditions, liquid-metals have been considered as candidate PFCs (Plasma-Facing Components), including: liquid lithium, tin-lithium, gallium and tin. Liquid lithium has been measured to have nonlinear increase of physical sputtering with rise in temperature. Such increase can be a result of exposure to ELM-level particle fluxes. The significant increase in particle flux to the divertor and nearby PFCs can enhance sputtering erosion by an order of magnitude or more. In addition from the standpoint of hydrogen recycling and helium pumping liquid lithium appears to be a good candidate plasma-facing material (PFM). Advanced designs of first wall and divertor systems propose the application of liquid-metals as an alternate PFC to contend with high-heat flux constraints of large-scale tokamak devices. Additional issues include PFC operation under disruptions and long temporal instabilities such as VDEs. A comprehensive two-fluid model is developed to integrate core and SOL (scrape-off layer) parameters during ELMs with PFC surface evolution using the HEIGHTS package. Special emphasis is made on the application of lithium as a candidate Plasma-facing liquid-metal.</t>
  </si>
  <si>
    <t>Argonne Natl Lab, Argonne, IL 60439 USA</t>
  </si>
  <si>
    <t>United States Department of Energy (DOE); Argonne National Laboratory</t>
  </si>
  <si>
    <t>Hassanein, A (corresponding author), Argonne Natl Lab, 9700 S Cass Ave, Argonne, IL 60439 USA.</t>
  </si>
  <si>
    <t>hassanein@anl.gov</t>
  </si>
  <si>
    <t>Insepov, Zinetula/L-2095-2013</t>
  </si>
  <si>
    <t>Allain, Jean Paul/0000-0003-1348-262X; Hassanein, Ahmed/0009-0004-5263-7801</t>
  </si>
  <si>
    <t>1536-1055</t>
  </si>
  <si>
    <t>1943-7641</t>
  </si>
  <si>
    <t>FUSION SCI TECHNOL</t>
  </si>
  <si>
    <t>Fusion Sci. Technol.</t>
  </si>
  <si>
    <t>10.13182/FST05-A765</t>
  </si>
  <si>
    <t>911CF</t>
  </si>
  <si>
    <t>WOS:000227978200061</t>
  </si>
  <si>
    <t>Spiegelberg, BD; dela Cruz, J; Law, TH; York, JD</t>
  </si>
  <si>
    <t>Alteration of lithium pharmacology through manipulation of phosphoadenosine phosphate metabolism</t>
  </si>
  <si>
    <t>JOURNAL OF BIOLOGICAL CHEMISTRY</t>
  </si>
  <si>
    <t>INOSITOL-POLYPHOSPHATE 1-PHOSPHATASE; HUMAN PAPS SYNTHETASE; SACCHAROMYCES-CEREVISIAE; ATP SULFURYLASE; 3'-PHOSPHOADENOSINE 5'-PHOSPHOSULFATE; MOLECULAR-CLONING; SULFATE; CELLS; YEAST; INHIBITION</t>
  </si>
  <si>
    <t>Bisphosphate 3'-nucleotidase (BPNT1 in mammals and Met22/Hal2 in yeast) is one of five members of a family of signaling phosphatases united through a common tertiary structure and inhibition by subtherapeutic doses of the antibipolar drug lithium. Here we report a role for 3'-nucleotidase and its substrate, 3'-phosphoadenosine 5'-phosphate (PAP), in mediating the cellular effects of lithium. Lithium-induced inhibition of growth in yeast cells may be overcome by dose-dependent heterologous expression of human BPNT1. Disruption of the yeast 3'-nucleotidase gene or treatment of cells with lithium results in a &gt;80-fold accumulation of PAP and leads to potent growth inhibition. These data indicate that the accumulation of a 3'-nucleotidase substrate, such as PAP, mediates the toxicity of lithium. To further probe this model we examined the growth inhibitory effects of lithium under conditions in which PAP biosynthetic machinery was concomitantly down-regulated. Disruption of met3 or met14 genes (ATP sulfurylase or phosphosulfate kinase), transcriptional down-regulation of MET3 through methionine addition, or administration of chlorate, a widely used cell-permeable sulfurylase inhibitor, function to reduce lithium-induced intracellular PAP accumulation and lithium toxicity; all of these effects were reversed by heterologous expression of human sulfurylase and kinase. Collectively, our data support a role for 3'-nucleotidase activity and PAP metabolism in aspects of lithium's mechanism of action and provide a platform for development of novel pharmacological modulators aimed at improving therapies for the treatment of bipolar disorder.</t>
  </si>
  <si>
    <t>Duke Univ, Med Ctr, Howard Hughes Med Inst, Dept Pharmacol &amp; Canc Biol, Durham, NC 27710 USA; Duke Univ, Med Ctr, Howard Hughes Med Inst, Dept Biochem, Durham, NC 27710 USA</t>
  </si>
  <si>
    <t>Howard Hughes Medical Institute; Duke University; Duke University; Howard Hughes Medical Institute</t>
  </si>
  <si>
    <t>York, JD (corresponding author), Duke Univ, Med Ctr, Howard Hughes Med Inst, Dept Pharmacol &amp; Canc Biol, DUMC 3813, Durham, NC 27710 USA.</t>
  </si>
  <si>
    <t>yorkj@duke.edu</t>
  </si>
  <si>
    <t>NHLBI NIH HHS [R01 HL-55672] Funding Source: Medline</t>
  </si>
  <si>
    <t>NHLBI NIH HHS(United States Department of Health &amp; Human ServicesNational Institutes of Health (NIH) - USANIH National Heart Lung &amp; Blood Institute (NHLBI))</t>
  </si>
  <si>
    <t>1083-351X</t>
  </si>
  <si>
    <t>J BIOL CHEM</t>
  </si>
  <si>
    <t>J. Biol. Chem.</t>
  </si>
  <si>
    <t>FEB 18</t>
  </si>
  <si>
    <t>10.1074/jbc.M407890200</t>
  </si>
  <si>
    <t>900LT</t>
  </si>
  <si>
    <t>hybrid</t>
  </si>
  <si>
    <t>WOS:000227217100036</t>
  </si>
  <si>
    <t>Antar, GY; Doerner, RP; Kaita, R; Majeski, R; Spaleta, J; Munsat, T; Jones, B; Maingi, R; Soukhanovskii, V; Kugel, H; Timberlake, J; Krasheninnikov, SI; Luckhardt, SC; Conn, RW</t>
  </si>
  <si>
    <t>Plasma-lithium interaction in the CDX-U spherical torus</t>
  </si>
  <si>
    <t>plasma-material interaction; lithium walls; MHD effects; CDX-U</t>
  </si>
  <si>
    <t>LIQUID LITHIUM; FUSION; MECHANISMS</t>
  </si>
  <si>
    <t>Results on the interaction between plasma in the current drive experiment-upgrade (CDX-U) spherical torus and a liquid lithium limiter are reported. It is observed that macroscopic lithium droplets detach from the limiter head and fall towards the plasma core. However, no disruptions occurred during these discharges despite the fact that relatively large-scale blobs are observed entering the confined plasma. A multi-tip Langmuir probe measures the edge plasma properties. It is found that the average density and temperature and their fluctuations are unaffected by the presence of lithium within experimental error. (C) 2002 Elsevier Science B.V. All rights reserved.</t>
  </si>
  <si>
    <t>Univ Calif San Diego, Fus Energy Res Program, La Jolla, CA 92093 USA; Princeton Plasma Phys Lab, Princeton, NJ 08543 USA; Oak Ridge Natl Lab, Oak Ridge, TN 37831 USA</t>
  </si>
  <si>
    <t>University of California System; University of California San Diego; Princeton University; United States Department of Energy (DOE); Princeton Plasma Physics Laboratory; United States Department of Energy (DOE); Oak Ridge National Laboratory</t>
  </si>
  <si>
    <t>Antar, GY (corresponding author), Univ Calif San Diego, Fus Energy Res Program, 9500 Gilman Dr, La Jolla, CA 92093 USA.</t>
  </si>
  <si>
    <t>gantar@ferp.ucsd.edu</t>
  </si>
  <si>
    <t>Maingi, Rajesh/ABA-3235-2021; Munsat, Tobin/GQI-4311-2022</t>
  </si>
  <si>
    <t>Maingi, Rajesh/0000-0003-1238-8121; Majeski, Richard/0000-0001-9437-0958; Soukhanovskii, Vlad/0000-0001-5519-0145;</t>
  </si>
  <si>
    <t>PII S0920-3796(02)00055-8</t>
  </si>
  <si>
    <t>10.1016/S0920-3796(02)00055-8</t>
  </si>
  <si>
    <t>558JX</t>
  </si>
  <si>
    <t>WOS:000175963500006</t>
  </si>
  <si>
    <t>Huang, XP; Zhang, SP; Liu, Y; Liu, S; Wang, QY; Wan, NN; Lu, SHJ; Wu, YM; Zhang, M</t>
  </si>
  <si>
    <t>Huang, Xueping; Zhang, Shengping; Liu, Yu; Liu, Shuai; Wang, Qiyu; Wan, Nannan; Lu, Shanghaojun; Wu, Yongming; Zhang, Miao</t>
  </si>
  <si>
    <t>Multi-Metal Leachate from Lithium Slag Induces Oxidative Stress, Circadian Disruption, and Neurobehavioural Toxicity in Zebrafish Larvae</t>
  </si>
  <si>
    <t>TOXICS</t>
  </si>
  <si>
    <t>lithium slag leachate; zebrafish; neurotoxicity; circadian rhythm</t>
  </si>
  <si>
    <t>INDUCED DEVELOPMENTAL NEUROTOXICITY; EARLY-LIFE STAGES; NERVOUS-SYSTEM; BEHAVIOR; GENES; MECHANISMS; RESPONSES</t>
  </si>
  <si>
    <t>The rising global demand for lithium has led to substantial accumulation of lithium slag, a by-product of lithium carbonate production and a potential environmental contaminant. Leachates from this material contain various metal elements and may pose risks to ecosystems and organismal health. However, research on its neurotoxicity and underlying mechanisms remains limited. In this study, zebrafish embryos at 6 h post-fertilisation were exposed to varying concentrations of lithium slag leachate for 7 days. The leachate contained multiple metal ions (Li, Fe, Mn, Ni, Zn, As, Cr, Cu, Hg, Cd, Pb, etc.). Following exposure, significant metal accumulation was observed in larvae, accompanied by developmental malformations (yolk sac oedema, cardiac haemorrhage, and uninflated swim bladders). Behavioural assessment revealed reduced swimming distance and velocity, along with disrupted circadian rhythms. Biochemical analyses showed elevated Reactive oxygen species (ROS), Superoxide dismutase (SOD), Catalase (CAT), and Malondialdehyde (MDA), alongside decreased Glutathione (GSH), indicating oxidative stress. Transcriptomic analysis confirmed downregulation of core circadian genes. Neurotransmitter assays revealed decreased acetylcholine (Ach), noradrenaline (NE), and dopamine (DA), with increased gamma-aminobutyric acid (GABA) and serotonin (5-HT). These findings demonstrate that lithium slag leachate induces oxidative stress, circadian disruption, and neurobehavioural toxicity in zebrafish, providing important evidence for environmental risk assessment.</t>
  </si>
  <si>
    <t>[Huang, Xueping; Zhang, Shengping; Lu, Shanghaojun] Jiangxi Univ Water Resources &amp; Elect Power, Sch Civil Engn &amp; Architectural Engn, Nanchang 330099, Peoples R China; [Liu, Yu; Wan, Nannan; Wu, Yongming] Inst Resources &amp; Environm, Jiangxi Acad Sci, Nanchang 330096, Peoples R China; [Liu, Shuai; Wang, Qiyu; Zhang, Miao] Jiangxi Acad Sci, Inst Med &amp; Hlth, Nanchang 330096, Peoples R China</t>
  </si>
  <si>
    <t>Jiangxi University of Water Resources &amp; Electric Power; Jiangxi Academy of Sciences; Jiangxi Academy of Sciences</t>
  </si>
  <si>
    <t>Wu, YM (corresponding author), Inst Resources &amp; Environm, Jiangxi Acad Sci, Nanchang 330096, Peoples R China.;Zhang, M (corresponding author), Jiangxi Acad Sci, Inst Med &amp; Hlth, Nanchang 330096, Peoples R China.</t>
  </si>
  <si>
    <t>hxp_2002@126.com; zhangshengping1218@163.com; liuyu@jxas.ac.cn; liushuai@jxas.ac.cn; ihbwangqiyu@126.com; wannannan@jxas.ac.cn; 13970793227@163.com; wuyongming@jxas.ac.cn; zhangmiao@jxas.ac.cn</t>
  </si>
  <si>
    <t>Science and Technology Planning Project of Jiangxi Province [20252BAC200656, 20252BCF320026, 20232BCJ22047]; Jiangxi Academy of Sciences [2024CXPT1002, 2023YSBG22013]</t>
  </si>
  <si>
    <t>Science and Technology Planning Project of Jiangxi Province; Jiangxi Academy of Sciences</t>
  </si>
  <si>
    <t>This work was jointly supported by the Jiangxi Academy of Sciences Science and Technology Programme Project (2024CXPT1002, 2023YSBG22013), and the Science and Technology Planning Project of Jiangxi Province (20252BAC200656, 20252BCF320026, 20232BCJ22047).</t>
  </si>
  <si>
    <t>MDPI</t>
  </si>
  <si>
    <t>BASEL</t>
  </si>
  <si>
    <t>MDPI AG, Grosspeteranlage 5, CH-4052 BASEL, SWITZERLAND</t>
  </si>
  <si>
    <t>2305-6304</t>
  </si>
  <si>
    <t>Toxics</t>
  </si>
  <si>
    <t>APR 20</t>
  </si>
  <si>
    <t>10.3390/toxics14040345</t>
  </si>
  <si>
    <t>Environmental Sciences; Toxicology</t>
  </si>
  <si>
    <t>Environmental Sciences &amp; Ecology; Toxicology</t>
  </si>
  <si>
    <t>HA5SC</t>
  </si>
  <si>
    <t>WOS:001749469800001</t>
  </si>
  <si>
    <t>Supply chain resilience; strategic resiliency index; supply chain risk management; lithium supply chain; US electric vehicle automotive industry</t>
  </si>
  <si>
    <t>ORDER ALLOCATION; DISRUPTION; RISK; FRAMEWORK; SELECTION; AGILITY; MODEL</t>
  </si>
  <si>
    <t>Purdue University System; Purdue University; Purdue University System; Purdue University; Purdue University System; Purdue University; Purdue University System; Purdue University</t>
  </si>
  <si>
    <t>Cai, Hua/B-2011-2014; Biller, Stephan/AAC-6048-2020</t>
  </si>
  <si>
    <t>Cai, Hua/0000-0002-5895-1664; Biller, Stephan/0000-0003-2597-3768</t>
  </si>
  <si>
    <t>Dauch Center for the Management of Manufacturing Enterprises at Purdue University</t>
  </si>
  <si>
    <t>Dauch Center for the Management of Manufacturing Enterprises at Purdue University(Purdue University)</t>
  </si>
  <si>
    <t>This work was supported by the Dauch Center for the Management of Manufacturing Enterprises at Purdue University.</t>
  </si>
  <si>
    <t>TAYLOR &amp; FRANCIS LTD</t>
  </si>
  <si>
    <t>ABINGDON</t>
  </si>
  <si>
    <t>2-4 PARK SQUARE, MILTON PARK, ABINGDON OR14 4RN, OXON, ENGLAND</t>
  </si>
  <si>
    <t>0020-7543</t>
  </si>
  <si>
    <t>1366-588X</t>
  </si>
  <si>
    <t>INT J PROD RES</t>
  </si>
  <si>
    <t>Int. J. Prod. Res.</t>
  </si>
  <si>
    <t>Engineering, Industrial; Engineering, Manufacturing; Operations Research &amp; Management Science</t>
  </si>
  <si>
    <t>Engineering; Operations Research &amp; Management Science</t>
  </si>
  <si>
    <t>AC7MK</t>
  </si>
  <si>
    <t>Priadel; Camcolit; plasma lithium levels; switch; adherence</t>
  </si>
  <si>
    <t>AFFECTIVE-DISORDERS; PHARMACOKINETICS; THERAPY; BIPOLAR</t>
  </si>
  <si>
    <t>Newcastle University - UK; Imperial College London; University of London; King's College London</t>
  </si>
  <si>
    <t>Cousins, David/AAR-3001-2021; Barnes, Thomas/KJC-1245-2024</t>
  </si>
  <si>
    <t>Cousins, David/0000-0001-5682-7507; Paton, Carol/0000-0001-7756-1031; Young, Allan/0000-0003-2291-6952; Delgado, Oriana/0000-0003-3551-8187;</t>
  </si>
  <si>
    <t>MRC [MR/L006642/1] Funding Source: UKRI; Medical Research Council [MR/L006642/1] Funding Source: Medline; Medical Research Council [MR/L006642/1] Funding Source: researchfish</t>
  </si>
  <si>
    <t>MRC(UK Research &amp; Innovation (UKRI)Medical Research Council UK (MRC)); Medical Research Council(UK Research &amp; Innovation (UKRI)Medical Research Council UK (MRC)); Medical Research Council(UK Research &amp; Innovation (UKRI)Medical Research Council UK (MRC))</t>
  </si>
  <si>
    <t>CAMBRIDGE UNIV PRESS</t>
  </si>
  <si>
    <t>CAMBRIDGE</t>
  </si>
  <si>
    <t>EDINBURGH BLDG, SHAFTESBURY RD, CB2 8RU CAMBRIDGE, ENGLAND</t>
  </si>
  <si>
    <t>2056-4694</t>
  </si>
  <si>
    <t>2056-4708</t>
  </si>
  <si>
    <t>BJPSYCH BULL</t>
  </si>
  <si>
    <t>BJPsych Bull.</t>
  </si>
  <si>
    <t>Psychiatry</t>
  </si>
  <si>
    <t>Emerging Sources Citation Index (ESCI)</t>
  </si>
  <si>
    <t>F4GK1</t>
  </si>
  <si>
    <t>Green Submitted, Green Published, gold</t>
  </si>
  <si>
    <t>Jung, S; Andruczyk, D; Ruzic, DN</t>
  </si>
  <si>
    <t>Jung, Soonwook; Andruczyk, Daniel; Ruzic, David N.</t>
  </si>
  <si>
    <t>Laboratory Investigation of Vapor Shielding for Lithium-Coated Molybdenum in Devex</t>
  </si>
  <si>
    <t>IEEE TRANSACTIONS ON PLASMA SCIENCE</t>
  </si>
  <si>
    <t>Symposium on Fusion Engineering</t>
  </si>
  <si>
    <t>JUN 25-30, 2011</t>
  </si>
  <si>
    <t>Chicago, IL</t>
  </si>
  <si>
    <t>Lithium; molybdenum; triple langmuir probe; vapor shielding</t>
  </si>
  <si>
    <t>DISRUPTION SIMULATION EXPERIMENTS; MATERIAL EROSION; TRIPLE PROBE; PLASMA GUN; HEAT LOAD; SURFACES; TARGET</t>
  </si>
  <si>
    <t>To investigate the effect of lithium on a molybdenum target, a triple Langmuir probe diagnostics and target temperature measurements are carried out. Several experimental scenarios are tested to optimize the device for the vapor shielding experiment. A lithium sputtering system is used to deposit lithium on a molybdenum target. A triple Langmuir probe is placed near the target at various pressures to estimate change of plasma density and electron temperature and their effects on vapor shielding. Temperature increase at the target is measured by a thermocouple and its relationship with plasma parameters and lithium is discussed in detail.</t>
  </si>
  <si>
    <t>[Jung, Soonwook; Andruczyk, Daniel; Ruzic, David N.] Univ Illinois, Dept Nucl Plasma Radiol Engn, Urbana, IL 61801 USA</t>
  </si>
  <si>
    <t>University of Illinois System; University of Illinois Urbana-Champaign</t>
  </si>
  <si>
    <t>Jung, S (corresponding author), Univ Illinois, Dept Nucl Plasma Radiol Engn, Urbana, IL 61801 USA.</t>
  </si>
  <si>
    <t>druzic@illinois.edu</t>
  </si>
  <si>
    <t>/AAD-4277-2022</t>
  </si>
  <si>
    <t>U.S. Department of Energy [DE-FG02-04ER54765]; Oak Ridge National Laboratory</t>
  </si>
  <si>
    <t>U.S. Department of Energy(United States Department of Energy (DOE)); Oak Ridge National Laboratory(United States Department of Energy (DOE))</t>
  </si>
  <si>
    <t>The research reported in this paper was performed in support of contract number DE-FG02-04ER54765 with the U.S. Department of Energy and Oak Ridge National Laboratory. The author would like to thank M. Williams for numerous technical discussions and undergraduate researchers L. A. Kesler, H. H. Yun, and B. Sherred for their time and commitment in the laboratory.</t>
  </si>
  <si>
    <t>IEEE-INST ELECTRICAL ELECTRONICS ENGINEERS INC</t>
  </si>
  <si>
    <t>PISCATAWAY</t>
  </si>
  <si>
    <t>445 HOES LANE, PISCATAWAY, NJ 08855-4141 USA</t>
  </si>
  <si>
    <t>0093-3813</t>
  </si>
  <si>
    <t>1939-9375</t>
  </si>
  <si>
    <t>IEEE T PLASMA SCI</t>
  </si>
  <si>
    <t>IEEE Trans. Plasma Sci.</t>
  </si>
  <si>
    <t>10.1109/TPS.2011.2181980</t>
  </si>
  <si>
    <t>908UY</t>
  </si>
  <si>
    <t>WOS:000301519500029</t>
  </si>
  <si>
    <t>Lazarev, VB; Dzhurik, AS; Shcherbak, AN; Belov, AM</t>
  </si>
  <si>
    <t>Lazarev, V. B.; Dzhurik, A. S.; Shcherbak, A. N.; Belov, A. M.</t>
  </si>
  <si>
    <t>Development of fast video recording of plasma interaction with a lithium limiter on T-11M tokamak</t>
  </si>
  <si>
    <t>Tokamak; Lithium; Capillary-porous systems</t>
  </si>
  <si>
    <t>SYSTEM</t>
  </si>
  <si>
    <t>A new high-speed color camera with interference filters was installed for fast video recording of plasma surface interaction with a Lithium limiter on the base of capillary-porous system (CPS) in T-11M tokamak vessel. The paper presents the results of the study of tokamak plasma interaction (frame exposure time up to with CPS Lithium limiter in a stable stationary phase, unstable regimes with internal disruption and results of processing of the image of the light emission around the probe, i.e. e-folding length for neutral Lithium penetration and e-folding length for Lithium ion flux in SOL region. (C) 2016 Elsevier B.V. All rights reserved.</t>
  </si>
  <si>
    <t>[Lazarev, V. B.; Dzhurik, A. S.; Shcherbak, A. N.] SSC RF TRINITI Troitsk, Moscow, Russia; [Belov, A. M.] NRC Kurchatov Inst, Moscow, Russia</t>
  </si>
  <si>
    <t>National Research Centre - Kurchatov Institute</t>
  </si>
  <si>
    <t>Lazarev, VB (corresponding author), SSC RF TRINITI Troitsk, Moscow, Russia.</t>
  </si>
  <si>
    <t>v_lazarev@triniti.ru</t>
  </si>
  <si>
    <t>Dzhurik, Andrey/Z-1341-2019; Shcherbak, Anastasiya/Z-1569-2019</t>
  </si>
  <si>
    <t>Belov, Alexander/0000-0001-9348-5163; Shcherbak, Anastasiya/0000-0002-0942-9837</t>
  </si>
  <si>
    <t>Rosatom [H.4x.44.90.13.1102]</t>
  </si>
  <si>
    <t>Rosatom</t>
  </si>
  <si>
    <t>This work was supported by Rosatom contract H.4x.44.90.13.1102</t>
  </si>
  <si>
    <t>NOV 15</t>
  </si>
  <si>
    <t>10.1016/j.fusengdes.2016.09.001</t>
  </si>
  <si>
    <t>EC1AV</t>
  </si>
  <si>
    <t>WOS:000387836800042</t>
  </si>
  <si>
    <t>MIZUKAMI, Y; MICHIGISHI, T; NONOMURA, A; NAKAMURA, S; NOGUCHI, M; TAKAZAKURA, E</t>
  </si>
  <si>
    <t>HISTOLOGICAL FEATURES OF THE THYROID-GLAND IN A PATIENT WITH LITHIUM-INDUCED THYROTOXICOSIS</t>
  </si>
  <si>
    <t>JOURNAL OF CLINICAL PATHOLOGY</t>
  </si>
  <si>
    <t>THYROTOXICOSIS; LITHIUM; THYROID HISTOLOGY</t>
  </si>
  <si>
    <t>A 26 year old woman with lithium induced thyrotoxicosis is reported. The thyrotoxicosis was associated with a non-tender diffuse goitre and a low radio-iodine uptake by the gland. The thyrotoxicosis was reversible and remitted on withdrawal of the drug. The histopathological alterations of the thyroid glad were characterised by extensive follicular cell disruption with no lymphocytic infiltration. It is postulated that lithium might directly damage thyroid follicular cells and that subsequent release lease of thyroglobulin into the circulation might be a cause of transient thyrotoxicosis.</t>
  </si>
  <si>
    <t>KANAZAWA UNIV HOSP,DEPT NUCL MED,KANAZAWA,ISHIKAWA 920,JAPAN; KANAZAWA UNIV HOSP,DEPT INTERNAL MED,KANAZAWA,ISHIKAWA 920,JAPAN; KANAZAWA UNIV HOSP,DEPT SURG,KANAZAWA,ISHIKAWA 920,JAPAN; KUROBE CITIZENS HOSP,DEPT INTERNAL MED,KUROBE,JAPAN</t>
  </si>
  <si>
    <t>Kanazawa University; Kanazawa University; Kanazawa University</t>
  </si>
  <si>
    <t>MIZUKAMI, Y (corresponding author), KANAZAWA UNIV HOSP,PATHOL SECT,13-1 TAKARA MACHI,KANAZAWA,ISHIKAWA 920,JAPAN.</t>
  </si>
  <si>
    <t>BRITISH MED JOURNAL PUBL GROUP</t>
  </si>
  <si>
    <t>BRITISH MED ASSOC HOUSE, TAVISTOCK SQUARE, LONDON, ENGLAND WC1H 9JR</t>
  </si>
  <si>
    <t>0021-9746</t>
  </si>
  <si>
    <t>J CLIN PATHOL</t>
  </si>
  <si>
    <t>J. Clin. Pathol.</t>
  </si>
  <si>
    <t>10.1136/jcp.48.6.582</t>
  </si>
  <si>
    <t>Pathology</t>
  </si>
  <si>
    <t>RD733</t>
  </si>
  <si>
    <t>WOS:A1995RD73300021</t>
  </si>
  <si>
    <t>Yu, FS; Wang, ZF; Tanaka, M; Chiu, CT; Leeds, P; Zhang, YM; Chuang, DM</t>
  </si>
  <si>
    <t>Yu, Fengshan; Wang, Zhifei; Tanaka, Mikiei; Chiu, Chi-Tso; Leeds, Peter; Zhang, Yumin; Chuang, De-Maw</t>
  </si>
  <si>
    <t>Posttrauma cotreatment with lithium and valproate: reduction of lesion volume, attenuation of blood-brain barrier disruption, and improvement in motor coordination in mice with traumatic brain injury Laboratory investigation</t>
  </si>
  <si>
    <t>JOURNAL OF NEUROSURGERY</t>
  </si>
  <si>
    <t>traumatic brain injury; lithium; valproate; neuroprotection; acetylhistone H3; mouse</t>
  </si>
  <si>
    <t>MOOD STABILIZERS LITHIUM; ACID; NEURODEGENERATION; DEFICITS; ROLES; MODEL; HDAC</t>
  </si>
  <si>
    <t>Object. Although traumatic brain injury (TBI) is the leading cause of death and morbidity in young adults, no effective pharmaceutical treatment is available. By inhibiting glycogen synthase kinase-3 (GSK-3) and histone deacetylases (HDACs), respectively, lithium and valproate (VPA) have beneficial effects in diverse neurodegenerative diseases. Furthermore, in an excitotoxic neuronal model and in animal models of amyotrophic lateral sclerosis, Huntington disease, and stroke, combined treatment with lithium and VPA produces more robust neuroprotective effects than treatment with either agent alone. Building on previous work that establishes that therapeutic doses of either lithium or VPA have beneficial effects in mouse models of TBI, this study evaluated the effects of combined treatment with subeffective doses of lithium and VPA in a mouse model of TBI. Methods. Male C57BL/6 mice underwent TBI and were subsequently treated with lithium, VPA, or a combination of lithium and VPA 15 minutes post-TBI and once daily thereafter for up to 3 weeks; all doses were subeffective (1 mEq/kg of lithium and 200 mg/kg of VPA). Assessed parameters included lesion volume via H &amp; E staining; blood-brain bather (BBB) integrity via immunoglobulin G extravasation; neurodegeneration via Fluoro-Jade B staining; motor coordination via a beam-walk test; and protein levels of acetylhistone H3, phospho-GSK-3 beta, and beta-catenin via Western blotting. Results. Posttrauma treatment with combined subeffective doses of lithium and VPA significantly reduced lesion volume, attenuated BBB disruption, and mitigated hippocampal neurodegeneration 3 days after TBI. As expected, subeffective doses of lithium or VPA alone did not have these beneficial effects. Combined treatment also improved motor coordination starting from Day 7 and persisting at least 21 days after TBI. Acetylation of histone H3, an index of HDAC inhibition, was robustly increased by the combined treatment 3 days after TBI. Conclusions. Cotreatment with subeffective doses of lithium and VPA significantly attenuated TBI-induced brain lesion, BBB disruption, and neurodegeneration, and robustly improved long-term functional recovery. These findings suggest that potentiating histone acetylation by HDAC inhibition is probably part of the mechanism underlying the beneficial effects associated with this combined treatment for TBI. Because both lithium and VPA have a long history of safe clinical use, the results suggest that using a combination of these 2 agents at subtherapeutic doses to treat patients with TBI may also reduce side effects and enhance tolerability.</t>
  </si>
  <si>
    <t>[Yu, Fengshan; Wang, Zhifei; Chiu, Chi-Tso; Leeds, Peter; Chuang, De-Maw] NIMH, Mol Neurobiol Sect, NIH, Bethesda, MD 20892 USA; [Yu, Fengshan; Zhang, Yumin; Chuang, De-Maw] Ctr Neurosci &amp; Regenerat Med, Bethesda, MD USA; [Yu, Fengshan; Tanaka, Mikiei; Zhang, Yumin] Uniformed Serv Univ Hlth Sci, Dept Anat Physiol &amp; Genet, Bethesda, MD 20814 USA</t>
  </si>
  <si>
    <t>National Institutes of Health (NIH) - USA; NIH National Institute of Mental Health (NIMH); United States Department of Defense; Center for Neuroscience &amp; Regenerative Medicine (CNRM); Uniformed Services University of the Health Sciences - USA</t>
  </si>
  <si>
    <t>Chuang, DM (corresponding author), NIMH, Mol Neurobiol Sect, NIH, 10 Ctr Dr,MSC 1363, Bethesda, MD 20892 USA.</t>
  </si>
  <si>
    <t>chuang@mail.nih.gov</t>
  </si>
  <si>
    <t>Yu, Fengshan/AGF-7993-2022</t>
  </si>
  <si>
    <t>Yu, Fengshan/0000-0001-8620-3084</t>
  </si>
  <si>
    <t>Center for Neuroscience and Regenerative Medicine of the Department of Defense; Blast Lethality Injury and Research Program; Intramural Research Program of the National Institute of Mental Health, National Institutes of Health (IRP-NIMH-NIH)</t>
  </si>
  <si>
    <t>Center for Neuroscience and Regenerative Medicine of the Department of Defense(United States Department of Defense); Blast Lethality Injury and Research Program; Intramural Research Program of the National Institute of Mental Health, National Institutes of Health (IRP-NIMH-NIH)</t>
  </si>
  <si>
    <t>This work was funded in part by the Center for Neuroscience and Regenerative Medicine of the Department of Defense, the Blast Lethality Injury and Research Program, and the Intramural Research Program of the National Institute of Mental Health, National Institutes of Health (IRP-NIMH-NIH). The authors have no conflicts of interest to disclose, financial or otherwise.</t>
  </si>
  <si>
    <t>AMER ASSOC NEUROLOGICAL SURGEONS</t>
  </si>
  <si>
    <t>ROLLING MEADOWS</t>
  </si>
  <si>
    <t>5550 MEADOWBROOK DRIVE, ROLLING MEADOWS, IL 60008 USA</t>
  </si>
  <si>
    <t>0022-3085</t>
  </si>
  <si>
    <t>1933-0693</t>
  </si>
  <si>
    <t>J NEUROSURG</t>
  </si>
  <si>
    <t>J. Neurosurg.</t>
  </si>
  <si>
    <t>10.3171/2013.6.JNS13135</t>
  </si>
  <si>
    <t>Clinical Neurology; Surgery</t>
  </si>
  <si>
    <t>Neurosciences &amp; Neurology; Surgery</t>
  </si>
  <si>
    <t>204IJ</t>
  </si>
  <si>
    <t>WOS:000323358700029</t>
  </si>
  <si>
    <t>Savotchenko, A; Klymenko, M; Shypshyna, M; Isaev, D</t>
  </si>
  <si>
    <t>Savotchenko, Alina; Klymenko, Mariia; Shypshyna, Mariia; Isaev, Dmytro</t>
  </si>
  <si>
    <t>The role of thrombin in early-onset seizures</t>
  </si>
  <si>
    <t>FRONTIERS IN CELLULAR NEUROSCIENCE</t>
  </si>
  <si>
    <t>thrombin; blood-brain barrier; hippocampus; status epilepticus; temporal-lobe epilepsy; lithium-pilocarpine model</t>
  </si>
  <si>
    <t>BLOOD-BRAIN-BARRIER; STATUS EPILEPTICUS; DISRUPTION; DYSFUNCTION; GLUTAMATE; MODEL; INFLAMMATION; STIMULATION; ENHANCEMENT; HIPPOCAMPUS</t>
  </si>
  <si>
    <t>A variety of clinical observations and studies in animal models of temporal lobe epilepsy (TLE) reveal dysfunction of blood-brain barrier (BBB) during seizures. It is accompanied by shifts in ionic composition, imbalance in transmitters and metabolic products, extravasation of blood plasma proteins in the interstitial fluid, causing further abnormal neuronal activity. A significant amount of blood components capable of causing seizures get through the BBB due to its disruption. And only thrombin has been demonstrated to generate early-onset seizures. Using the whole-cell recordings from the single hippocampal neurons we recently showed the induction of epileptiform firing activity immediately after the addition of thrombin to the blood plasma ionic media. In the present work, we mimic some effects of BBB disruption in vitro to examine the effect of modified blood plasma artificial cerebrospinal fluid (ACSF) on the excitability of hippocampal neurons and the role of serum protein thrombin in seizure susceptibility. Comparative analysis of model conditions simulating BBB dysfunction was performed using the lithium-pilocarpine model of TLE, which most clearly reflects the BBB disruption in the acute stage. Our results demonstrate the particular role of thrombin in seizure-onset in conditions of BBB disruption.</t>
  </si>
  <si>
    <t>[Savotchenko, Alina; Klymenko, Mariia; Isaev, Dmytro] Bogomoletz Inst Physiol, Dept Cellular Membranol, Kiev, Ukraine; [Shypshyna, Mariia] Bogomoletz Inst Physiol, Lab Synapt Transmiss, Kiev, Ukraine</t>
  </si>
  <si>
    <t>National Academy of Sciences Ukraine; A.A. Bogomoletz Institute of Physiology; National Academy of Sciences Ukraine; A.A. Bogomoletz Institute of Physiology</t>
  </si>
  <si>
    <t>Savotchenko, A (corresponding author), Bogomoletz Inst Physiol, Dept Cellular Membranol, Kiev, Ukraine.</t>
  </si>
  <si>
    <t>savrasova10@gmail.com</t>
  </si>
  <si>
    <t>; Klymenko, Mariia/KIK-5085-2024; /N-8965-2018; Savotchenko, Alina/L-1046-2019</t>
  </si>
  <si>
    <t>Клименко, Марія/0009-0004-7167-8318; Savotchenko, Alina/0000-0001-5276-430X</t>
  </si>
  <si>
    <t>FRONTIERS MEDIA SA</t>
  </si>
  <si>
    <t>AVENUE DU TRIBUNAL FEDERAL 34, LAUSANNE, CH-1015, SWITZERLAND</t>
  </si>
  <si>
    <t>1662-5102</t>
  </si>
  <si>
    <t>FRONT CELL NEUROSCI</t>
  </si>
  <si>
    <t>Front. Cell. Neurosci.</t>
  </si>
  <si>
    <t>MAR 9</t>
  </si>
  <si>
    <t>10.3389/fncel.2023.1101006</t>
  </si>
  <si>
    <t>Neurosciences</t>
  </si>
  <si>
    <t>Neurosciences &amp; Neurology</t>
  </si>
  <si>
    <t>A4GJ1</t>
  </si>
  <si>
    <t>WOS:000954725100001</t>
  </si>
  <si>
    <t>Tong, MJ; He, ZL; Lin, XX; Zhou, YL; Wang, QQ; Zheng, ZM; Chen, J; Xu, HZ; Tian, NF</t>
  </si>
  <si>
    <t>Tong, Minji; He, Zili; Lin, Xiaoxiao; Zhou, Yulong; Wang, Qingqing; Zheng, Zengming; Chen, Jian; Xu, Huazi; Tian, Naifeng</t>
  </si>
  <si>
    <t>Lithium chloride contributes to blood spinal cord barrier integrity and functional recovery from spinal cord injury by stimulating autophagic flux</t>
  </si>
  <si>
    <t>BIOCHEMICAL AND BIOPHYSICAL RESEARCH COMMUNICATIONS</t>
  </si>
  <si>
    <t>Lithium chloride; Blood-spinal cord barrier; Spinal cord injury; Autophagic flux</t>
  </si>
  <si>
    <t>ENDOPLASMIC-RETICULUM STRESS; MOOD STABILIZERS LITHIUM; VALPROIC ACID; DISRUPTION; INHIBITION; PREVENTS; PROTECTS; SURVIVAL; MODEL</t>
  </si>
  <si>
    <t>Blood spinal cord barrier (BSCB) disruption following spinal cord injury (SCI) significantly compromises functional neuronal recovery. Autophagy is a potential therapeutic target when seeking to protect the BSCB. We explored the effects of lithium chloride (LiCl) on BSCB permeability and autophagy-induced SCI both in a rat model of SCI and in endothelial cells subjected to oxygen-glucose deprivation. We evaluated BSCB status using the Evans Blue dye extravasation test and measurement of tight junction (TJ) protein levels; we also assessed functional locomotor recovery. We detected autophagy-associated proteins in vivo and in vitro using both Western blotting and immunofluorescence staining. We found that, in a rat model of SCI, LiCl attenuated the elevation in BSCB permeability, improved locomotor recovery, and inhibited the degradation of TJ proteins including occludin and claudin-5. LiCl significantly induced the extent of autophagic flux after SCI by increasing LC3-II and ATG-5 levels, and abolishing p62 accumulation. In addition, a combination of LiCl and the autophagy inhibitor chloroquine not only partially eliminated the BSCB-protective effect of LiCl, but also exacerbated TJ protein degradation both in vivo and in vitro. Together, these findings suggest that LiCl treatment alleviates BSCB disruption and promotes locomotor recovery after SCI, partly by stimulating autophagic flux. (C) 2017 Elsevier Inc. All rights reserved.</t>
  </si>
  <si>
    <t>[Tong, Minji; He, Zili; Zhou, Yulong; Wang, Qingqing; Zheng, Zengming; Chen, Jian; Xu, Huazi; Tian, Naifeng] Wenzhou Med Univ, Affiliated Hosp 2, Dept Orthopaed Surg, Wenzhou 325000, Peoples R China; [Tong, Minji; He, Zili; Zhou, Yulong; Wang, Qingqing; Zheng, Zengming; Chen, Jian; Xu, Huazi; Tian, Naifeng] Wenzhou Med Univ, Yuying Childrens Hosp, Wenzhou 325000, Peoples R China; [Lin, Xiaoxiao] Wenzhou Med Univ, Affiliated Hosp 1, Dept Neurol, Wenzhou 325000, Peoples R China</t>
  </si>
  <si>
    <t>Xu, HZ; Tian, NF (corresponding author), 109 XueYuan West Rd, Wenzhou, Zhejiang, Peoples R China.</t>
  </si>
  <si>
    <t>spine-xu@163.com; fengnq@163.com</t>
  </si>
  <si>
    <t>Lin, Xiaoxiao/R-4938-2017</t>
  </si>
  <si>
    <t>National Natural Science Foundation of China [81401162, 81601980]</t>
  </si>
  <si>
    <t>National Natural Science Foundation of China(National Natural Science Foundation of China (NSFC))</t>
  </si>
  <si>
    <t>This study was partially supported by a research grant from National Natural Science Foundation of China (81401162, 81601980).</t>
  </si>
  <si>
    <t>ACADEMIC PRESS INC ELSEVIER SCIENCE</t>
  </si>
  <si>
    <t>SAN DIEGO</t>
  </si>
  <si>
    <t>525 B ST, STE 1900, SAN DIEGO, CA 92101-4495 USA</t>
  </si>
  <si>
    <t>0006-291X</t>
  </si>
  <si>
    <t>1090-2104</t>
  </si>
  <si>
    <t>BIOCHEM BIOPH RES CO</t>
  </si>
  <si>
    <t>Biochem. Biophys. Res. Commun.</t>
  </si>
  <si>
    <t>JAN 22</t>
  </si>
  <si>
    <t>10.1016/j.bbrc.2017.12.119</t>
  </si>
  <si>
    <t>Biochemistry &amp; Molecular Biology; Biophysics</t>
  </si>
  <si>
    <t>FX8IS</t>
  </si>
  <si>
    <t>WOS:000426336300021</t>
  </si>
  <si>
    <t>Rhee, SY; Kim, HS</t>
  </si>
  <si>
    <t>Rhee, Seung Yeon; Kim, Hyoung Seop</t>
  </si>
  <si>
    <t>Subcortical Structure Disruption in Diffusion Tensor Tractography of the Patient With the Syndrome of Irreversible Lithium-Effectuated Neurotoxicity Combined With Neuroleptic Malignant Syndrome: A Case Report</t>
  </si>
  <si>
    <t>CLINICAL NEUROPHARMACOLOGY</t>
  </si>
  <si>
    <t>lithium; neuroleptic malignant syndrome; neurotoxic disorder</t>
  </si>
  <si>
    <t>HUMAN BRAIN</t>
  </si>
  <si>
    <t>Background Lithium can cause not only acute neurotoxicity but also chronic and persistent neurotoxicity known as syndrome of irreversible lithium-effectuated neurotoxicity (SILENT). The combined use of lithium and antipsychotics increases the possibility of SILENT. Neuroleptic malignant syndrome (NMS) is a reversible, idiosyncratic, and potentially life-threatening reaction, which is usually caused by antipsychotics and other agents, such as mood stabilizers (eg, lithium and metoclopramide). Neuroleptic malignant syndrome is characterized by hyperpyrexia, muscle rigidity, and altered mental status. We describe a case of SILENT combined with NMS in this case report. Case Report A 46-year-old man who had been treated with lithium for bipolar II disorder since 2008 was prescribed lorazepam, lithium, and aripiprazole at his last outpatient visit. The patient experienced financial difficulties (bankruptcy) and suffered severe emotional stress. Subsequently, he overused lorazepam, lithium, and aripiprazole. Two days after the overdose, he experienced a high fever, confused mental status, and rhabdomyolysis and was diagnosed with NMS. However, even after resolution of NMS-related symptoms, quadriplegia, visual field defects, ataxia, and severe dysarthria persisted. A positron emission tomography-computed tomography brain scan showed decreased F-15-fludeoxyglucose uptake in bilateral primary motor cortices and in the thalamus, midbrain, and cerebellum. Brain magnetic resonance imaging diffusion tensor imaging and diffusion tensor tractography of the subcortical tracts revealed structural disruptions, especially in the corticospinal tract, dentatorubrothalamic tract, and optic radiation, which seemed to be correlated with the clinical symptoms of the patient. Conclusion This case suggests that the clinical use of diffusion tensor tractography could be helpful to explain the clinical features in the case of SILENT combined with NMS.</t>
  </si>
  <si>
    <t>[Rhee, Seung Yeon; Kim, Hyoung Seop] Natl Hlth Insurance Serv Ilsan Hosp, Dept Phys Med &amp; Rehabil, Ilsan, South Korea</t>
  </si>
  <si>
    <t>National Health Insurance Service</t>
  </si>
  <si>
    <t>Kim, HS (corresponding author), Natl Hlth Insurance Serv Ilsan Hosp, Dept Phys Med &amp; Rehabil, 100 Ilsan Ro, Goyang 10444, Gyeonggi Provin, South Korea.</t>
  </si>
  <si>
    <t>rehappydoc@gmail.com</t>
  </si>
  <si>
    <t>LIPPINCOTT WILLIAMS &amp; WILKINS</t>
  </si>
  <si>
    <t>TWO COMMERCE SQ, 2001 MARKET ST, PHILADELPHIA, PA 19103 USA</t>
  </si>
  <si>
    <t>0362-5664</t>
  </si>
  <si>
    <t>1537-162X</t>
  </si>
  <si>
    <t>CLIN NEUROPHARMACOL</t>
  </si>
  <si>
    <t>Clin. Neuropharmacol.</t>
  </si>
  <si>
    <t>MAR-APR</t>
  </si>
  <si>
    <t>10.1097/WNF.0000000000000439</t>
  </si>
  <si>
    <t>Clinical Neurology; Pharmacology &amp; Pharmacy</t>
  </si>
  <si>
    <t>Neurosciences &amp; Neurology; Pharmacology &amp; Pharmacy</t>
  </si>
  <si>
    <t>RC5NM</t>
  </si>
  <si>
    <t>Green Submitted, hybrid</t>
  </si>
  <si>
    <t>WOS:000632847800005</t>
  </si>
  <si>
    <t>Schermer, RT; Bucholtz, F; Villarruel, CA; Gil, JG; Andreadis, TD; Williams, KJ</t>
  </si>
  <si>
    <t>Schermer, Ross T.; Bucholtz, Frank; Villarruel, Carl A.; Gil, Jesus Gil; Andreadis, Tim D.; Williams, Keith J.</t>
  </si>
  <si>
    <t>Investigation of electrooptic modulator disruption by microwave-induced transients</t>
  </si>
  <si>
    <t>OPTICS EXPRESS</t>
  </si>
  <si>
    <t>PROPAGATION</t>
  </si>
  <si>
    <t>This paper presents a detailed investigation of the physical mechanisms underlying the disruption of a lithium niobate electrooptic modulator by RF pulses. It is shown that short-term modulator disruption is a direct consequence of resistive heating within the metal conductor of the coplanar waveguide electrode, which leads to a thermo-optic optical phase shift in the waveguides of the modulator. Resistive heating is also shown to contribute to permanent modulator damage at higher RF power. These results indicate that short-term RF disruption, and possibly RF damage, can be mitigated through improved thermal management. They also predict that short-term photonic link disruption can be reduced, if not eliminated, by use of a phase modulated photonic link.</t>
  </si>
  <si>
    <t>[Schermer, Ross T.; Bucholtz, Frank; Villarruel, Carl A.; Gil, Jesus Gil; Andreadis, Tim D.; Williams, Keith J.] USN, Res Lab, Washington, DC 20375 USA</t>
  </si>
  <si>
    <t>United States Department of Defense; United States Navy; United States Naval Research Laboratory; NRL Chesapeake</t>
  </si>
  <si>
    <t>Schermer, RT (corresponding author), USN, Res Lab, 4555 Overlook Ave SW, Washington, DC 20375 USA.</t>
  </si>
  <si>
    <t>Schermer, Ross/KII-3122-2024</t>
  </si>
  <si>
    <t>Schermer, Ross/0000-0003-3672-7482</t>
  </si>
  <si>
    <t>DARPA</t>
  </si>
  <si>
    <t>DARPA(United States Department of DefenseDefense Advanced Research Projects Agency (DARPA))</t>
  </si>
  <si>
    <t>This work was sponsored by DARPA. The authors would like to thank Marc Currie and Nicholas J. Condon for helpful discussions on nonlinear optic and thermal phenomena.</t>
  </si>
  <si>
    <t>OPTICAL SOC AMER</t>
  </si>
  <si>
    <t>2010 MASSACHUSETTS AVE NW, WASHINGTON, DC 20036 USA</t>
  </si>
  <si>
    <t>1094-4087</t>
  </si>
  <si>
    <t>OPT EXPRESS</t>
  </si>
  <si>
    <t>Opt. Express</t>
  </si>
  <si>
    <t>DEC 7</t>
  </si>
  <si>
    <t>10.1364/OE.17.022586</t>
  </si>
  <si>
    <t>Optics</t>
  </si>
  <si>
    <t>532PG</t>
  </si>
  <si>
    <t>gold</t>
  </si>
  <si>
    <t>WOS:000272761300035</t>
  </si>
  <si>
    <t>lithium; material flow analysis; complex network; multilayer network; supply chain; cascadingfailures</t>
  </si>
  <si>
    <t>FLOW-ANALYSIS; CENTRALITY; EFFICIENCY; ALUMINUM; COBALT</t>
  </si>
  <si>
    <t>Chinese Academy of Sciences; Institute of Geographic Sciences &amp; Natural Resources Research, CAS; Chinese Academy of Sciences; University of Chinese Academy of Sciences, CAS; Peking University; University of Southern Denmark; Beijing University of Technology; University of Groningen; Peking University</t>
  </si>
  <si>
    <t>Liu, Gang/J-3181-2013</t>
  </si>
  <si>
    <t>Ouyang, Xin/0000-0002-8715-0786; Sun, Xin/0000-0003-1772-8623; Chen, Wu/0000-0001-6100-3588</t>
  </si>
  <si>
    <t>HORIZON EUROPE Food, Bioeconomy, Natural Resources, Agriculture and Environment [72334001, 71991484]; National Natural Science Foundation of China [23JZD018]; Humanities and Social Sciences Fund of the Ministry of Education of China [101059491]; Horizon Europe Framework Programme of the European Union; Horizon Europe - Pillar II [101059491] Funding Source: Horizon Europe - Pillar II</t>
  </si>
  <si>
    <t>HORIZON EUROPE Food, Bioeconomy, Natural Resources, Agriculture and Environment; National Natural Science Foundation of China(National Natural Science Foundation of China (NSFC)); Humanities and Social Sciences Fund of the Ministry of Education of China; Horizon Europe Framework Programme of the European Union; Horizon Europe - Pillar II(European Union (EU)Horizon Europe - Pillar II)</t>
  </si>
  <si>
    <t>This work is financially supported by the National Natural Science Foundation of China (72334001 and 71991484), the Humanities and Social Sciences Fund of the Ministry of Education of China (23JZD018), and the TREAoURcE project under the Horizon Europe Framework Programme of the European Union (Grant Agreement No. 101059491).</t>
  </si>
  <si>
    <t>AMER CHEMICAL SOC</t>
  </si>
  <si>
    <t>1155 16TH ST, NW, WASHINGTON, DC 20036 USA</t>
  </si>
  <si>
    <t>0013-936X</t>
  </si>
  <si>
    <t>1520-5851</t>
  </si>
  <si>
    <t>ENVIRON SCI TECHNOL</t>
  </si>
  <si>
    <t>Environ. Sci. Technol.</t>
  </si>
  <si>
    <t>P6Y3H</t>
  </si>
  <si>
    <t>Green Submitted, Green Published</t>
  </si>
  <si>
    <t>Hushur, A; Kojima, S; Kodama, M; Whittington, B; Olesiak, M; Affatigato, M; Feller, SA</t>
  </si>
  <si>
    <t>Elastic anomaly of glass transitions in lithium silicate</t>
  </si>
  <si>
    <t>JAPANESE JOURNAL OF APPLIED PHYSICS PART 1-REGULAR PAPERS BRIEF COMMUNICATIONS &amp; REVIEW PAPERS</t>
  </si>
  <si>
    <t>Li2O-SiO2 glass; elastic property; glass transition; crystallization; Brillouin scattering</t>
  </si>
  <si>
    <t>MICRO-BRILLOUIN SCATTERING; NETWORK GLASSES; BOSON PEAK; ETHANOL; LIQUIDS; DYNAMICS; ALCOHOLS; METHANOL</t>
  </si>
  <si>
    <t>Brillouin spectra of lithium silicate glasses with various lithium oxide concentrations have been investigated over a wide temperature range. The room-temperature elastic constants increase significantly with increasing lithium oxide concentration. This indicates that rigidity increases with lithium oxide concentration. From the temperature dependence of the longitudinal elastic modulus, it was found that the rigidity decreases on heating, faster with a high lithium content. The rate of decrease becomes significantly larger above the glass transition temperature T-g. This is related to the disruption of network bonds, suppressing the rigidity of the melt structures on heating. The increased lithium oxide concentration leads to a faster degradation in the network structure. The T-g of lithium silicate glasses was determined. The increased fragility with increased lithium oxide concentration reflects the significant decrease in longitudinal elastic modulus with temperatures above T-g. Crystallization temperature decreases with increasing lithium oxide concentration.</t>
  </si>
  <si>
    <t>Univ Tsukuba, Inst Mat Sci, Tsukuba, Ibaraki 3058573, Japan; Sojo Univ, Dept Chem, Kumamoto 9600082, Japan; Coe Coll, Dept Phys, Cedar Rapids, IA 52402 USA</t>
  </si>
  <si>
    <t>University of Tsukuba; Sojo University</t>
  </si>
  <si>
    <t>Hushur, A (corresponding author), Univ Tsukuba, Inst Mat Sci, Tsukuba, Ibaraki 3058573, Japan.</t>
  </si>
  <si>
    <t>anwar@ims.tsukuba.ac.jp; kojima@bk.tsukuba.ac.jp</t>
  </si>
  <si>
    <t>Kojima, Seiji/L-9006-2016; Affatigato, Mario/GXM-8108-2022</t>
  </si>
  <si>
    <t>JAPAN SOC APPLIED PHYSICS</t>
  </si>
  <si>
    <t>TOKYO</t>
  </si>
  <si>
    <t>KUDAN-KITA BUILDING 5TH FLOOR, 1-12-3 KUDAN-KITA, CHIYODA-KU, TOKYO, 102-0073, JAPAN</t>
  </si>
  <si>
    <t>0021-4922</t>
  </si>
  <si>
    <t>JPN J APPL PHYS 1</t>
  </si>
  <si>
    <t>Jpn. J. Appl. Phys. Part 1 - Regul. Pap. Brief Commun. Rev. Pap.</t>
  </si>
  <si>
    <t>9A</t>
  </si>
  <si>
    <t>10.1143/JJAP.44.6683</t>
  </si>
  <si>
    <t>Physics, Applied</t>
  </si>
  <si>
    <t>969UO</t>
  </si>
  <si>
    <t>WOS:000232260700064</t>
  </si>
  <si>
    <t>Jun, SM; Moon, SI; Kim, WS; Min, KE</t>
  </si>
  <si>
    <t>Ionic conductivity of poly(ethylene oxide) poly(epichlorohydrin) LiClO4 mixtures</t>
  </si>
  <si>
    <t>POLYMER-KOREA</t>
  </si>
  <si>
    <t>Korean</t>
  </si>
  <si>
    <t>ionic conductivity; thermal behavior; PEO/PECH blends; solid polymer electrolyte</t>
  </si>
  <si>
    <t>POLYMER ELECTROLYTES; LITHIUM PERCHLORATE; COMPLEXES; SALTS; MORPHOLOGY; TEMPERATURE; TRANSPORT; GLYCOL); BLEND</t>
  </si>
  <si>
    <t>The ionic conductivity and thermal properties of poly(ethylene oxide)/poly (epichlorohydrin) blends containing lithium perchlorate were studied. The amount of salt required for complete disruption of the PEO crystalline phase in PEG/PECH (80:20) blend was much smaller than that in the pure PEG. The ionic conductivities of the PEG-lithium salt mixtures were enhanced by adding PECH, but this was not effective at the higher content of PECH.</t>
  </si>
  <si>
    <t>Dongsung Chem Co, Polyol Div, Ulsan, South Korea; Korea Electrotechnol Res Inst, Battery Technol Team, Kyungnam 641120, South Korea; Kyungpook Natl Univ, Dept Polymer Sci, Taegu 702701, South Korea</t>
  </si>
  <si>
    <t>Korea Electrotechnology Research Institute (KERI); Kyungpook National University (KNU)</t>
  </si>
  <si>
    <t>Min, KE (corresponding author), Dongsung Chem Co, Polyol Div, 822 Yeocheon Dong, Ulsan, South Korea.</t>
  </si>
  <si>
    <t>POLYMER SOC KOREA</t>
  </si>
  <si>
    <t>SEOUL</t>
  </si>
  <si>
    <t>ROOM 601, HATCHON BUILDING, 831 YEOKSAM-DONG, KANGNAM-KU, SEOUL 135-792, SOUTH KOREA</t>
  </si>
  <si>
    <t>0379-153X</t>
  </si>
  <si>
    <t>POLYM-KOREA</t>
  </si>
  <si>
    <t>Polym.-Korea</t>
  </si>
  <si>
    <t>Polymer Science</t>
  </si>
  <si>
    <t>ZP070</t>
  </si>
  <si>
    <t>WOS:000073713500013</t>
  </si>
  <si>
    <t>Nedospasov, AV; Sergienko, GV; Zykova, NM; Pen'deev, IV; Mydretskaya, EV; Zhmendak, AV</t>
  </si>
  <si>
    <t>Erosion of vanadium in lithium plasma</t>
  </si>
  <si>
    <t>13th International Conference on Plasma-Surface Interactions in Controlled Fusion Devices</t>
  </si>
  <si>
    <t>MAY 18-22, 1998</t>
  </si>
  <si>
    <t>SAN DIEGO, CA</t>
  </si>
  <si>
    <t>Gen Atomics Co,US DOE</t>
  </si>
  <si>
    <t>lithium; plasma-material interaction</t>
  </si>
  <si>
    <t>In this paper the results of first experimental study of the pulse discharges in lithium vapour with vanadium electrodes are presented, The goal of the investigation was modelling the conditions on divertor plates with the lithium protection during current disruptions. The electric current was about 2 ka with pulse duration of several milliseconds. The electron temperature estimated from plasma electrical conductivity was about 2.8 eV. The measured erosion rate of the vanadium anode was about 10(-3) g/C. The dimensions of vanadium droplets scraped out from inner surfaces of the discharge tube have been measured. (C) 1999 Elsevier Science B.V. All rights reserved.</t>
  </si>
  <si>
    <t>IVTAN Assoc, RAS, Inst High Temp, Moscow 127412, Russia; Sci Prod Ctr Eley 2, Kiev, Ukraine</t>
  </si>
  <si>
    <t>Russian Academy of Sciences; Joint Institute for High Temperatures of the Russian Academy of Sciences</t>
  </si>
  <si>
    <t>Nedospasov, AV (corresponding author), IVTAN Assoc, RAS, Inst High Temp, Izhorskaya 13-19, Moscow 127412, Russia.</t>
  </si>
  <si>
    <t>ned@termo.msk.su</t>
  </si>
  <si>
    <t>Sergienko, Gennady/W-8597-2019</t>
  </si>
  <si>
    <t>10.1016/S0022-3115(98)00674-6</t>
  </si>
  <si>
    <t>186JG</t>
  </si>
  <si>
    <t>WOS:000079725200099</t>
  </si>
  <si>
    <t>Xu, N; Yan, Y; Saunders, KEA; Geddes, JR; Browning, M</t>
  </si>
  <si>
    <t>Xu, Ni; Yan, Yan; Saunders, Kate E. A.; Geddes, John R.; Browning, Michael</t>
  </si>
  <si>
    <t>Effect of lithium on circadian activity level and flexibility in patients with bipolar disorder: results from the Oxford Lithium Trial</t>
  </si>
  <si>
    <t>EBIOMEDICINE</t>
  </si>
  <si>
    <t>Bipolar disorder; Lithium; Circadian rhythm; Actigraphy; Experimental medicine</t>
  </si>
  <si>
    <t>MOOD DISORDERS; MOTOR-ACTIVITY; SLEEP</t>
  </si>
  <si>
    <t>Background Disruption of circadian rest-activity is prevalent in patients with bipolar disorder (BD). Lithium's impact on circadian rhythms has been documented in cell lines, animal models, and pharmacogenomics studies in patients with BD. However, the causal relationship between such disruption and BD remains unclear. Methods We investigated the early effects of lithium on circadian rest-activity in an exploratory analysis of a randomised, placebo-controlled, double-blind six-week study on patients with BD. Participants were assigned to receive either lithium or a placebo in a 1:1 ratio. Circadian activity was monitored using actigraphy, and daily affect was assessed through ecological momentary assessment. A computational model was used to quantify different types of activity variability, and the impact of lithium on activity level, activity onset time and their variability were analysed using linear mixed models. Findings Of the thirty-five participants who began treatment, 19 received lithium and 16 received a placebo. Lithium significantly altered circadian rest-activity patterns, including reducing daytime activity levels (after 4 weeks, below as well: Cohen's d = -0.19, p = 0.002, linear mixed model, ibid.), advancing the onset of daytime activity (Cohen's d = -0.14, p = 0.018), and increasing the volatility of both daytime activity level (Cohen's d = 0.10, p = 0.002) and its onset time (Cohen's d = 0.13, p &lt; 0.001), independent of affective symptoms changes. Interpretation This study establishes a causal link between lithium treatment and reduced circadian activity with advanced circadian phase, potentially via temporarily increasing their volatility (flexibility). Significant circadian changes were detected within one week of starting lithium, highlighting their potential as an early biomarker for treatment response. Copyright (c) 2025 The Author(s). Published by Elsevier B.V. This is an open access article under the CC BY license (http://creativecommons.org/licenses/by/4.0/).</t>
  </si>
  <si>
    <t>[Xu, Ni; Yan, Yan; Saunders, Kate E. A.; Geddes, John R.; Browning, Michael] Univ Oxford, Dept Psychiat, Oxford, England; [Xu, Ni] Peking Univ Sixth Hosp, Beijing, Peoples R China; [Xu, Ni] Peking Univ, Inst Mental Hlth, 51 Hua Yuan Bei Rd, Beijing 100191, Peoples R China; [Xu, Ni] Peking Univ, NHC Key Lab Mental Hlth, Beijing, Peoples R China; [Xu, Ni] Peking Univ Sixth Hosp, Natl Clin Res Ctr Mental Disorders, Beijing, Peoples R China; [Yan, Yan] Stanford Univ, Dept Psychol, Stanford, CA USA; [Saunders, Kate E. A.; Geddes, John R.; Browning, Michael] Oxford Hlth NHS Trust, Oxford, England</t>
  </si>
  <si>
    <t>University of Oxford; Peking University; Peking University; Stanford University; Oxford Health NHS Foundation Trust</t>
  </si>
  <si>
    <t>Xu, N (corresponding author), Peking Univ, Inst Mental Hlth, 51 Hua Yuan Bei Rd, Beijing 100191, Peoples R China.;Browning, M (corresponding author), Univ Oxford, Warneford Hosp, Dept Psychiat, Oxford OX3 7JX, England.</t>
  </si>
  <si>
    <t>nixu@bjmu.edu.cn; michael.browning@psych.ox.ac.uk</t>
  </si>
  <si>
    <t>; browning, michael/M-7338-2017; Geddes, John/B-8240-2011; Xu, Ni/AAW-4224-2021</t>
  </si>
  <si>
    <t>Yan, Ryan/0000-0002-8720-2478; browning, michael/0000-0001-9108-3144;</t>
  </si>
  <si>
    <t>2352-3964</t>
  </si>
  <si>
    <t>EBioMedicine</t>
  </si>
  <si>
    <t>10.1016/j.ebiom.2025.105676</t>
  </si>
  <si>
    <t>MAY 2025</t>
  </si>
  <si>
    <t>1FQ2Y</t>
  </si>
  <si>
    <t>WOS:001463888400001</t>
  </si>
  <si>
    <t>Brix, M; Dodt, D; Dunai, D; Lupelli, I; Marsen, S; Melson, TF; Meszaros, B; Morgan, P; Petravich, G; Refy, DI; Silva, C; Stamp, M; Szabolics, T; Zastrow, KD; Zoletnik, S</t>
  </si>
  <si>
    <t>Brix, M.; Dodt, D.; Dunai, D.; Lupelli, I.; Marsen, S.; Melson, T. F.; Meszaros, B.; Morgan, P.; Petravich, G.; Refy, D. I.; Silva, C.; Stamp, M.; Szabolics, T.; Zastrow, K. -D.; Zoletnik, S.</t>
  </si>
  <si>
    <t>JET-EFDA Contributors</t>
  </si>
  <si>
    <t>Recent improvements of the JET lithium beam diagnostic</t>
  </si>
  <si>
    <t>REVIEW OF SCIENTIFIC INSTRUMENTS</t>
  </si>
  <si>
    <t>19th Topical Conference on High-Temperature Plasma Diagnostics</t>
  </si>
  <si>
    <t>MAY 06-10, 2012</t>
  </si>
  <si>
    <t>Monterey, CA</t>
  </si>
  <si>
    <t>A 60 kV neutral lithium diagnostic beam probes the edge plasma of JET for the measurement of electron density profiles. This paper describes recent enhancements of the diagnostic setup, new procedures for calibration and protection measures for the lithium ion gun during massive gas puffs for disruption mitigation. New light splitting optics allow in parallel beam emission measurements with a new double entrance slit CCD spectrometer (spectrally resolved) and a new interference filter avalanche photodiode camera (fast density and fluctuation studies). [http://dx.doi.org/10.1063/1.4739411]</t>
  </si>
  <si>
    <t>[Brix, M.; Morgan, P.; Stamp, M.; Zastrow, K. -D.] EURATOM CCFE Fus Assoc, Culham Sci Ctr, Abingdon OX14 3DB, Oxon, England; [Dodt, D.] EURATOM Assoziat, Max Planck Inst Plasmaphys, Garching, Germany; [Dunai, D.; Meszaros, B.; Petravich, G.; Refy, D. I.; Szabolics, T.; Zoletnik, S.] EURATOM, Wigner RCP, H-1525 Budapest, Hungary; [Lupelli, I.] Univ Roma Tor Vergata, ENEA, Associaz EURATOM, Rome, Italy; [Marsen, S.] EURATOM Ass, Max Planck Inst Plasmaphys, D-17491 Greifswald, Germany; [Melson, T. F.] Max Planck Inst Astrophys, D-8046 Garching, Germany; [Silva, C.] Inst Super Tecn, Inst Plasma &amp; Fusao Nucl, EURATOM IST, Lisbon, Portugal; [JET-EFDA Contributors] JET EFDA, Culham Sci Ctr, Abingdon OX14 3DB, Oxon, England</t>
  </si>
  <si>
    <t>Euratom; Culham Science Centre; UK Atomic Energy Authority; Euratom; Max Planck Society; Euratom; HUN-REN; HUN-REN Wigner Research Centre for Physics; University of Rome Tor Vergata; Italian National Agency New Technical Energy &amp; Sustainable Economics Development; Italian National Agency New Technical Energy &amp; Sustainable Economics Development; Max Planck Society; Euratom; Max Planck Society; Universidade de Lisboa; UK Atomic Energy Authority; Culham Science Centre</t>
  </si>
  <si>
    <t>Brix, M (corresponding author), EURATOM CCFE Fus Assoc, Culham Sci Ctr, Abingdon OX14 3DB, Oxon, England.</t>
  </si>
  <si>
    <t>Mathias.Brix@ccfe.ac.uk</t>
  </si>
  <si>
    <t>Réfy, Dániel Imre/JGC-8599-2023; Silva, Carlos Garcia/L-6490-2013; Meszaros, Botond/KYL-8657-2024; Zoletnik, Sandor/ITV-2855-2023</t>
  </si>
  <si>
    <t>Réfy, Dániel Imre/0000-0002-0846-8236; Silva, Carlos Garcia/0000-0001-6348-0505; Meszaros, Botond/0009-0004-7992-1343; Lupelli, Ivan/0000-0001-5053-1502; Melson, Tobias/0009-0004-5572-8581</t>
  </si>
  <si>
    <t>AMER INST PHYSICS</t>
  </si>
  <si>
    <t>MELVILLE</t>
  </si>
  <si>
    <t>CIRCULATION &amp; FULFILLMENT DIV, 2 HUNTINGTON QUADRANGLE, STE 1 N O 1, MELVILLE, NY 11747-4501 USA</t>
  </si>
  <si>
    <t>0034-6748</t>
  </si>
  <si>
    <t>REV SCI INSTRUM</t>
  </si>
  <si>
    <t>Rev. Sci. Instrum.</t>
  </si>
  <si>
    <t>10D533</t>
  </si>
  <si>
    <t>10.1063/1.4739411</t>
  </si>
  <si>
    <t>Instruments &amp; Instrumentation; Physics, Applied</t>
  </si>
  <si>
    <t>Instruments &amp; Instrumentation; Physics</t>
  </si>
  <si>
    <t>043RB</t>
  </si>
  <si>
    <t>WOS:000311562900052</t>
  </si>
  <si>
    <t>Khripunov, BI; Petrov, VB; Shapkin, VV; Pleshakov, AS; Rupyshev, AS; Antonov, NV; Litnovsky, AM; Prokhorov, DY; Shpansky, YS; Evtikhin, VA; Lyublinsky, IE; Vertkov, AV</t>
  </si>
  <si>
    <t>Liquid lithium surface research and development</t>
  </si>
  <si>
    <t>15th International Conference on Plasma-Surface Interactions in Controlled Fusion Devices (PSI-15)</t>
  </si>
  <si>
    <t>MAY 26-31, 2002</t>
  </si>
  <si>
    <t>GIFU, JAPAN</t>
  </si>
  <si>
    <t>liquid metal; lithium; evaporation</t>
  </si>
  <si>
    <t>SYSTEMS</t>
  </si>
  <si>
    <t>A liquid metal surface made with a capillary porous structure (CPS) (solid base) filled with lithium (liquid) has been offered for application in a magnetic confinement fusion reactor. The approach is investigated experimentally for divertor and first wall relevant conditions. The CPS ensured stability of the liquid surface under pulsed plasma impact in disruption simulation and tokamak experiments. Continuous operation of lithium capillary target was studied under electron beam load in stationary thermal conditions in the range 1-10 MW/m(2) of energy flux in steady state. Lithium evaporation was shown to dominate at temperatures higher than 400 degreesC and it removed up to 0.7 of incident power. Heat flux redistribution at the liquid lithium surface was analyzed. Lithium ionization, lithium plasma parameters near the liquid surface were evaluated. The importance and possibility of prompt lithium removal from the near surface layer in divertor conditions are emphasized. (C) 2003 Elsevier Science B.V. All rights reserved.</t>
  </si>
  <si>
    <t>IV Kurchatov Atom Energy Inst, Nucl Fus Inst, Russian Res Ctr, Moscow 123182, Russia; State Enterprise Red Star, Moscow 115230, Russia</t>
  </si>
  <si>
    <t>Khripunov, BI (corresponding author), IV Kurchatov Atom Energy Inst, Nucl Fus Inst, Russian Res Ctr, Kurchatov Sq 1, Moscow 123182, Russia.</t>
  </si>
  <si>
    <t>Shpanskiy, Yuri/G-4305-2017; Vertkov, Alexey/JTS-9864-2023; Litnovsky, Andrey/AAG-9449-2019</t>
  </si>
  <si>
    <t>Shpanskiy, Yuri/0000-0002-9336-1918; Vertkov, Alexey/0000-0001-7164-2316; Litnovsky, Andrey/0000-0001-9791-4316</t>
  </si>
  <si>
    <t>PII S0022-3115(02)01450-2</t>
  </si>
  <si>
    <t>10.1016/S0022-3115(02)01450-2</t>
  </si>
  <si>
    <t>665XN</t>
  </si>
  <si>
    <t>WOS:000182146700113</t>
  </si>
  <si>
    <t>Redshaw, C; Elsegood, MRJ</t>
  </si>
  <si>
    <t>Synthesis and disruption of a tetrametallic zinc hydrazide</t>
  </si>
  <si>
    <t>CHEMICAL COMMUNICATIONS</t>
  </si>
  <si>
    <t>CRYSTALLOGRAPHY</t>
  </si>
  <si>
    <t>Treatment of 1,1'-dimethylhydrazine, Me2NNH2 with excess diethylzinc affords a novel tetrametallic Zn4N8 cage complex, which on further reaction with (BuLi)-Bu-t forms a lithium-bridged chain of Zn4N7 cages.</t>
  </si>
  <si>
    <t>Univ E Anglia, Sch Chem Sci &amp; Pharm, Norwich NR4 7TJ, Norfolk, England; Loughborough Univ Technol, Dept Chem, Loughborough LE11 3TU, Leics, England</t>
  </si>
  <si>
    <t>University of East Anglia; Loughborough University</t>
  </si>
  <si>
    <t>Redshaw, C (corresponding author), Univ E Anglia, Sch Chem Sci &amp; Pharm, Norwich NR4 7TJ, Norfolk, England.</t>
  </si>
  <si>
    <t>carl.redshaw@uea.ac.uk; m.r.j.elsegood@lboro.ac.uk</t>
  </si>
  <si>
    <t>Redshaw, Carl/C-5644-2009; Elsegood, Mark/K-1663-2013</t>
  </si>
  <si>
    <t>Redshaw, Carl/0000-0002-2090-1688; Elsegood, Mark/0000-0002-8984-4175</t>
  </si>
  <si>
    <t>ROYAL SOC CHEMISTRY</t>
  </si>
  <si>
    <t>THOMAS GRAHAM HOUSE, SCIENCE PARK, MILTON RD, CAMBRIDGE CB4 0WF, CAMBS, ENGLAND</t>
  </si>
  <si>
    <t>1359-7345</t>
  </si>
  <si>
    <t>CHEM COMMUN</t>
  </si>
  <si>
    <t>Chem. Commun.</t>
  </si>
  <si>
    <t>FEB 7</t>
  </si>
  <si>
    <t>10.1039/b516431a</t>
  </si>
  <si>
    <t>Chemistry, Multidisciplinary</t>
  </si>
  <si>
    <t>Chemistry</t>
  </si>
  <si>
    <t>011QQ</t>
  </si>
  <si>
    <t>WOS:000235283600011</t>
  </si>
  <si>
    <t>Zhang, XO; Zhao, J; Li, Y; An, D; Cheng, HG; Ma, YL; Song, HP</t>
  </si>
  <si>
    <t>Zhang, Xiaoou; Zhao, Jing; Li, Yan; An, Dong; Cheng, Huaigang; Ma, Yuliang; Song, Huiping</t>
  </si>
  <si>
    <t>Mineral Phase Transformation and Leaching Behavior During the Roasting-Acid-Leaching Process of Clay-Type Lithium Ore in the Qaidam Basin</t>
  </si>
  <si>
    <t>MINERALS</t>
  </si>
  <si>
    <t>clay-type lithium ore; enrichment; particle size; acid leaching; roasting</t>
  </si>
  <si>
    <t>EXTRACTION; DEPOSITS</t>
  </si>
  <si>
    <t>To address lithium extraction from clay-type lithium ore from the Qaidam Basin, this study identified key controlling factors through particle fractionation, acid-leaching-roasting experiments, and mineral characterization. The results demonstrate that particle size optimization enriched the lithium to 87.65 ppm, where a 74% leaching rate was achieved with 65 ppm extraction, which established intermediate-sized samples as optimal. During acid leaching, adsorbed lithium ions with a phyllosilicate interlayer were released via the ion exchange process instead of mineral dissolution, as verified by the Li-O/S-O peak shifts in the FTIR spectra. The roasting induced hydroxyl elimination, carbonate decomposition, and silicate restructuring but triggered lithium encapsulation via mineral phase reorganization, which caused a sharp leaching rate decline. Effective lithium extraction requires integrated particle size screening, acid-leaching optimization, and roasting-induced phase encapsulation disruption. This study established theoretical foundations for clay-type lithium ore exploitation.</t>
  </si>
  <si>
    <t>[Zhang, Xiaoou; An, Dong; Cheng, Huaigang] Qinghai Univ, Salt Lake Chem Engn Res Complex, Xining 810016, Peoples R China; [Zhang, Xiaoou; Zhao, Jing; Li, Yan; Cheng, Huaigang; Song, Huiping] Shanxi Univ, Inst Resources &amp; Environm Engn, Taiyuan 030006, Peoples R China; [Ma, Yuliang] Qinghai Fourth Geol Explorat Inst, Xining 810016, Peoples R China; [Ma, Yuliang] Qinghai Prov Key Lab Shale Gas Resources, Xining 810016, Peoples R China</t>
  </si>
  <si>
    <t>Qinghai University; Shanxi University</t>
  </si>
  <si>
    <t>Cheng, HG (corresponding author), Qinghai Univ, Salt Lake Chem Engn Res Complex, Xining 810016, Peoples R China.;Cheng, HG (corresponding author), Shanxi Univ, Inst Resources &amp; Environm Engn, Taiyuan 030006, Peoples R China.</t>
  </si>
  <si>
    <t>xiaoouzhang2425@163.com; sxzj1112@163.com; 18856123825@163.com; andongisl@163.com; chenghg@sxu.edu.cn; 15110907505@163.com; songhp@sxu.edu.cn</t>
  </si>
  <si>
    <t>; Zhang, Xiaoou/OUI-2961-2025; an, dong/JCD-7387-2023</t>
  </si>
  <si>
    <t>cheng, huaigang/0000-0002-1658-056X;</t>
  </si>
  <si>
    <t>Centrally Guided Local Science and Technology Development Fund Projects of Qinghai Province; National Natural Science Foundation of China [22478232]; National Key Research and Development Program of China-Strategic Science and Technology Innovation Cooperation [2023YFE0100700]; [2024ZY006]</t>
  </si>
  <si>
    <t>Centrally Guided Local Science and Technology Development Fund Projects of Qinghai Province; National Natural Science Foundation of China(National Natural Science Foundation of China (NSFC)); National Key Research and Development Program of China-Strategic Science and Technology Innovation Cooperation;</t>
  </si>
  <si>
    <t>This work was financially supported by the Centrally Guided Local Science and Technology Development Fund Projects of Qinghai Province (2024ZY006), National Natural Science Foundation of China (22478232), and National Key Research and Development Program of China-Strategic Science and Technology Innovation Cooperation [2023YFE0100700]. We are grateful for their financial support and valuable guidance.</t>
  </si>
  <si>
    <t>2075-163X</t>
  </si>
  <si>
    <t>MINERALS-BASEL</t>
  </si>
  <si>
    <t>Minerals</t>
  </si>
  <si>
    <t>JUL 24</t>
  </si>
  <si>
    <t>10.3390/min15080777</t>
  </si>
  <si>
    <t>Geochemistry &amp; Geophysics; Mineralogy; Mining &amp; Mineral Processing</t>
  </si>
  <si>
    <t>6OD9G</t>
  </si>
  <si>
    <t>WOS:001558014100001</t>
  </si>
  <si>
    <t>Forschungszentrum Karlsruhe,EURATOM Fus Assoc</t>
  </si>
  <si>
    <t>TARGET</t>
  </si>
  <si>
    <t>Vertkov, Alexey/0000-0001-7164-2316; lyublinski, igor/0000-0001-8701-228X</t>
  </si>
  <si>
    <t>639UG</t>
  </si>
  <si>
    <t>Yang, TR; Lu, YQ; Li, LR; Ge, DY; Yang, H; Leng, WN; Zhou, H; Han, X; Schmidt, N; Ellis, M; Li, Z</t>
  </si>
  <si>
    <t>Yang, Tairan; Lu, Yingqi; Li, Liurui; Ge, Dayang; Yang, Heng; Leng, Weinan; Zhou, Hui; Han, Xu; Schmidt, Nolan; Ellis, Michael; Li, Zheng</t>
  </si>
  <si>
    <t>An Effective Relithiation Process for Recycling Lithium-Ion Battery Cathode Materials</t>
  </si>
  <si>
    <t>ADVANCED SUSTAINABLE SYSTEMS</t>
  </si>
  <si>
    <t>cathode materials; direct recycling; lithium cobalt oxides; lithium-ion battery recycling</t>
  </si>
  <si>
    <t>REGENERATION; INTERCALATION; DEGRADATION; RECOVERY; FUTURE; IMPACT</t>
  </si>
  <si>
    <t>Rapid adoption of lithium-ion batteries for electronics and electric vehicles requires cost-effective and efficient recycling of battery components especially the valuable cathode active materials. The direct recycling method transforms end-of-life (EOL) cathode materials into battery grade materials with minimal energy consumption and least environmental disruption. In direct recycling, the relithiation step to restore the lithium stoichiometry of the cathode materials is critical. In this work, a novel electrochemical relithiation approach in an aqueous electrolyte followed by a heat treatment for recycling cathode materials in EOL lithium-ion batteries is demonstrated and analyzed. Using LiCoO2 as an example, it is shown that the recycled LiCoO2 materials show equivalent crystal structure, morphology, and electrochemical performance to the commercial LiCoO2.</t>
  </si>
  <si>
    <t>[Yang, Tairan; Lu, Yingqi; Li, Liurui; Ge, Dayang; Yang, Heng; Leng, Weinan; Ellis, Michael; Li, Zheng] Virginia Tech, Dept Mech Engn, Blacksburg, VA 24061 USA; [Yang, Tairan; Lu, Yingqi; Han, Xu; Schmidt, Nolan] Li Ind Inc, Blacksburg, VA 24061 USA; [Zhou, Hui] Binghamton Univ, Dept Mat Sci &amp; Engn, Binghamton, NY 13902 USA</t>
  </si>
  <si>
    <t>Virginia Polytechnic Institute &amp; State University; State University of New York (SUNY) System; Binghamton University, SUNY</t>
  </si>
  <si>
    <t>Li, Z (corresponding author), Virginia Tech, Dept Mech Engn, Blacksburg, VA 24061 USA.</t>
  </si>
  <si>
    <t>zhengli@vt.edu</t>
  </si>
  <si>
    <t>Li, Zheng/J-6766-2012; Zhou, Hui/B-9439-2014; Yang, Tairan/AFC-6977-2022</t>
  </si>
  <si>
    <t>Zhou, Hui/0000-0001-8739-963X; Li, Liurui/0009-0002-9804-9752;</t>
  </si>
  <si>
    <t>Department of Mechanical Engineering at Virginia Tech; Small Business Technology Transfer (STTR) Phase I Program of National Science Foundation (NSF) [1819982]; Div Of Industrial Innovation &amp; Partnersh; Directorate For Engineering [1819982] Funding Source: National Science Foundation</t>
  </si>
  <si>
    <t>Department of Mechanical Engineering at Virginia Tech; Small Business Technology Transfer (STTR) Phase I Program of National Science Foundation (NSF)(National Science Foundation (NSF)); Div Of Industrial Innovation &amp; Partnersh; Directorate For Engineering(National Science Foundation (NSF)NSF - Directorate for Engineering (ENG))</t>
  </si>
  <si>
    <t>This work was supported in part by the Department of Mechanical Engineering at Virginia Tech and in part by the Small Business Technology Transfer (STTR) Phase I Program of National Science Foundation (NSF) under Award No. 1819982.</t>
  </si>
  <si>
    <t>WILEY-V C H VERLAG GMBH</t>
  </si>
  <si>
    <t>WEINHEIM</t>
  </si>
  <si>
    <t>POSTFACH 101161, 69451 WEINHEIM, GERMANY</t>
  </si>
  <si>
    <t>2366-7486</t>
  </si>
  <si>
    <t>ADV SUSTAIN SYST</t>
  </si>
  <si>
    <t>Adv. Sustain. Syst.</t>
  </si>
  <si>
    <t>10.1002/adsu.201900088</t>
  </si>
  <si>
    <t>DEC 2019</t>
  </si>
  <si>
    <t>Green &amp; Sustainable Science &amp; Technology; Materials Science, Multidisciplinary</t>
  </si>
  <si>
    <t>Science &amp; Technology - Other Topics; Materials Science</t>
  </si>
  <si>
    <t>KD5SY</t>
  </si>
  <si>
    <t>WOS:000501402400001</t>
  </si>
  <si>
    <t>Krishnan, R; Gopan, G</t>
  </si>
  <si>
    <t>Krishnan, Renjith; Gopan, Gokul</t>
  </si>
  <si>
    <t>A comprehensive review of lithium extraction: From historical perspectives to emerging technologies, storage, and environmental considerations</t>
  </si>
  <si>
    <t>CLEANER ENGINEERING AND TECHNOLOGY</t>
  </si>
  <si>
    <t>Lithium; Lithium -ion batteries; Cleaner energy sources; Electric mobility; Lithium extraction methods</t>
  </si>
  <si>
    <t>ION BATTERIES; CHALLENGES; RECOVERY; ENERGY; RESOURCES; SPODUMENE; IMPACTS; CHINA; WATER</t>
  </si>
  <si>
    <t>Lithium, a vital element in lithium-ion batteries, is pivotal in the global shift towards cleaner energy and electric mobility. The relentless demand for lithium-ion batteries necessitates an in-depth exploration of lithium extraction methods. This literature review delves into the historical evolution, contemporary practices, and emerging technologies of lithium extraction. It scrutinizes environmental and economic impacts, identifies research gaps, and underscores sustainable extraction's imperative. It examines conventional methods like spodumene mining and brine extraction, highlighting their advantages and challenges. Emerging technologies, particularly Direct Lithium Extraction (DLE) and geothermal brine recovery, are evaluated for their potential to revolutionize the industry. Environmental considerations, including water usage, chemical disposal, and habitat disruption, are assessed alongside economic implications. The review also identifies critical research gaps, beckoning the scientific community to develop solutions that meet lithium's surging demand while safeguarding the environment. In conclusion, this literature review emphasizes the need for sustainable lithium extraction to facilitate a future powered by cleaner energy sources and sustainable transportation.</t>
  </si>
  <si>
    <t>[Krishnan, Renjith] Saveetha Engn Coll, Dept Mech Engn, Chennai 602105, India; [Gopan, Gokul] Saveetha Inst Med &amp; Tech Sci SIMATS, Saveetha Sch Engn, Dept Mech Engn, Thandalam 602105, India</t>
  </si>
  <si>
    <t>Saveetha Institute of Medical &amp; Technical Science; Saveetha School of Engineering</t>
  </si>
  <si>
    <t>Krishnan, R (corresponding author), Saveetha Engn Coll, Dept Mech Engn, Chennai 602105, India.</t>
  </si>
  <si>
    <t>renjithkrishnan67@gmail.com; gkulgopan@gmail.com</t>
  </si>
  <si>
    <t>GOPAN, GOKUL GOPAN Post Doctoral Researcher GSCOE IIT Palakkad/JSK-6027-2023; Krishnan, Renjith/IST-1870-2023</t>
  </si>
  <si>
    <t>GOPAN, GOKUL GOPAN Post Doctoral Researcher GSCOE IIT Palakkad/0000-0003-4414-9256; Krishnan, Renjith/0000-0002-6391-0904</t>
  </si>
  <si>
    <t>2666-7908</t>
  </si>
  <si>
    <t>CLEAN ENG TECHNOL</t>
  </si>
  <si>
    <t>Cleaner Eng. Technol.</t>
  </si>
  <si>
    <t>10.1016/j.clet.2024.100749</t>
  </si>
  <si>
    <t>MAY 2024</t>
  </si>
  <si>
    <t>TE5Z5</t>
  </si>
  <si>
    <t>WOS:001239612200001</t>
  </si>
  <si>
    <t>SHAW, N</t>
  </si>
  <si>
    <t>DISRUPTION OF CONDITIONED TASTE-AVERSION BY ECS - THE ROLE OF LITHIUM-CHLORIDE</t>
  </si>
  <si>
    <t>PHYSIOLOGY &amp; BEHAVIOR</t>
  </si>
  <si>
    <t>Rats were taught a conditioned taste aversion (CTA) by pairing a 10% sucrose solution (CS) with lithium chloride (LiCl)-induced poisoning (UCS). The CS-UCS interval was 30 min. The LiCl dose (20 ml/kg) was either strong (0.15 M) or weaker (0.075 M). Electroconvulsive shock (ECS) (80 mA for 600 msec) was interpolated within the CS-UCS interval at either 15 or 30 min. ECS caused a significant disruption of CTA only when the aversion was established with the weaker dose of LiCl. There was also no indication that interference with CTA was dependent upon close temporal contiguity between the ECS and LiCl. In a second experiment a CTA was established with LiCl (0.15 M) which was heated to 45.degree.C. Under these conditions ECS produced a similar disruption of learning to that when the UCS was the weaker dose of LiCl (0.075 M). The results suggest than an apparent differential loss of learning within the CS-UCS interval described in a previous report was accidentally created when some groups of animals were poisoned with warm and others with cold LiCl.</t>
  </si>
  <si>
    <t>UNIV AUCKLAND, SCH MED, DEPT PHYSIOL, AUCKLAND 1, NEW ZEALAND</t>
  </si>
  <si>
    <t>University of Auckland</t>
  </si>
  <si>
    <t>0031-9384</t>
  </si>
  <si>
    <t>1873-507X</t>
  </si>
  <si>
    <t>PHYSIOL BEHAV</t>
  </si>
  <si>
    <t>Physiol. Behav.</t>
  </si>
  <si>
    <t>10.1016/0031-9384(86)90500-7</t>
  </si>
  <si>
    <t>Psychology, Biological; Behavioral Sciences</t>
  </si>
  <si>
    <t>Psychology; Behavioral Sciences</t>
  </si>
  <si>
    <t>A9419</t>
  </si>
  <si>
    <t>WOS:A1986A941900032</t>
  </si>
  <si>
    <t>Kim, J; Carlin, JM; Smith, SA; Yin, J; Joo, YL</t>
  </si>
  <si>
    <t>Kim, Jangwoo; Carlin, Joseph M.; Smith, Soshana A.; Yin, Jun; Joo, Yong Lak</t>
  </si>
  <si>
    <t>Thermal restacking of graphene structure to improve lithium-air battery cyclability</t>
  </si>
  <si>
    <t>ELECTROCHEMISTRY COMMUNICATIONS</t>
  </si>
  <si>
    <t>Lithium air; Lithium oxygen; Restacking; Volume expansion; Reduced graphene oxide; Thermal treatment</t>
  </si>
  <si>
    <t>LI-AIR; ELECTRODE</t>
  </si>
  <si>
    <t>Poor rechargeability is one of major drawbacks of lithium-air batteries. Our study reveals that the accumulation and subsequent removal of reaction products during cycles can lead to a serious disruption and volume expansion of the cathode structure and demonstrates that by restacking and realigning the three phase interface of the cycled cathodes via mild heat treatment results in the enhanced cycle performance by over 200% and reduces the discharge overpotential at the same time. The results stress the importance of maintaining the physical configuration of lithium-air cathodes, and provide a new insight towards pulling out capacity retention of the system by better utilization of the available carbon surface. (C) 2016 Elsevier B.V. All rights reserved.</t>
  </si>
  <si>
    <t>[Kim, Jangwoo; Carlin, Joseph M.; Smith, Soshana A.; Yin, Jun; Joo, Yong Lak] Cornell Univ, Sch Chem &amp; Biomol Engn, Ithaca, NY 14853 USA</t>
  </si>
  <si>
    <t>Cornell University</t>
  </si>
  <si>
    <t>Joo, YL (corresponding author), Cornell Univ, Sch Chem &amp; Biomol Engn, Ithaca, NY 14853 USA.</t>
  </si>
  <si>
    <t>ylj2@cornell.edu</t>
  </si>
  <si>
    <t>Yin, Jun/R-1448-2019; Joo, Yong/AAA-8616-2019</t>
  </si>
  <si>
    <t>NSF MRSEC program [DMR-1120296]; Nanobiotechnology Center; Axium Nanofibers [68678]; Dongjin Semichem (CCMR ICP) [M01-9122]</t>
  </si>
  <si>
    <t>NSF MRSEC program(National Science Foundation (NSF)NSF - Directorate for Mathematical &amp; Physical Sciences (MPS)); Nanobiotechnology Center; Axium Nanofibers; Dongjin Semichem (CCMR ICP)</t>
  </si>
  <si>
    <t>This work made use of the Cornell Center for Materials Research (CCMR) Shared Facilities which are supported through the NSF MRSEC program (DMR-1120296) and the Nanobiotechnology Center shared research facilities at Cornell. This work is partially supported by Axium Nanofibers (Cornell OSP No. 68678) and Dongjin Semichem (CCMR ICP M01-9122).</t>
  </si>
  <si>
    <t>ELSEVIER SCIENCE INC</t>
  </si>
  <si>
    <t>360 PARK AVE SOUTH, NEW YORK, NY 10010-1710 USA</t>
  </si>
  <si>
    <t>1388-2481</t>
  </si>
  <si>
    <t>1873-1902</t>
  </si>
  <si>
    <t>ELECTROCHEM COMMUN</t>
  </si>
  <si>
    <t>Electrochem. Commun.</t>
  </si>
  <si>
    <t>10.1016/j.elecom.2016.07.001</t>
  </si>
  <si>
    <t>Electrochemistry</t>
  </si>
  <si>
    <t>DV0GL</t>
  </si>
  <si>
    <t>WOS:000382595900010</t>
  </si>
  <si>
    <t>KUMAGAI, N; KIKUCHI, Y; TANNO, K; LANTELME, F; CHEMLA, M</t>
  </si>
  <si>
    <t>ELECTROCHEMICAL INVESTIGATION OF THE DIFFUSION OF LITHIUM IN BETA-LIAL ALLOY AT ROOM-TEMPERATURE</t>
  </si>
  <si>
    <t>JOURNAL OF APPLIED ELECTROCHEMISTRY</t>
  </si>
  <si>
    <t>ORGANIC ELECTROLYTES; PROPYLENE CARBONATE; ALUMINUM ELECTRODE; SECONDARY LITHIUM; CYCLING BEHAVIOR; IMPEDANCE</t>
  </si>
  <si>
    <t>The chemical diffusion coefficients of lithium in beta-LiAl alloy were measured by the use of transient techniques such as chronopotentiometry, chronoamperometry and a.c. impedance spectroscopy in 1 M LiClO4-propylene carbonate at 25-degrees-C. A beta-LiAl layer, formed by electrodepositing lithium on a thin aluminium substrate having a microstructure of preferred (100) orientation, was mainly used. The values of the diffusion coefficients were found to be of the order of 10(-10) cm2s-1, which are close to those reported in the literature. A scatter in the coefficient was discussed in terms of the formation and disruption of the passivating layer on the alloy.</t>
  </si>
  <si>
    <t>UNIV PARIS 06,ELECTROCHIM LAB,UA 430,F-75252 PARIS 05,FRANCE</t>
  </si>
  <si>
    <t>Sorbonne Universite</t>
  </si>
  <si>
    <t>KUMAGAI, N (corresponding author), IWATE UNIV,FAC ENGN,DEPT APPL CHEM,MORIOKA,IWATE 020,JAPAN.</t>
  </si>
  <si>
    <t>CHAPMAN HALL LTD</t>
  </si>
  <si>
    <t>2-6 BOUNDARY ROW, LONDON, ENGLAND SE1 8HN</t>
  </si>
  <si>
    <t>0021-891X</t>
  </si>
  <si>
    <t>J APPL ELECTROCHEM</t>
  </si>
  <si>
    <t>J. Appl. Electrochem.</t>
  </si>
  <si>
    <t>10.1007/BF01027501</t>
  </si>
  <si>
    <t>JG134</t>
  </si>
  <si>
    <t>WOS:A1992JG13400008</t>
  </si>
  <si>
    <t>Lithium-ion battery; Criticality analysis; Supply chain; Supply disruption; Supply risk</t>
  </si>
  <si>
    <t>ENVIRONMENTAL-IMPACT; RESOURCE EFFICIENCY; CRITICALITY; FLOW; VULNERABILITY; METALS; TRADE; CHINA</t>
  </si>
  <si>
    <t>Cornell University; University of Groningen</t>
  </si>
  <si>
    <t>Sun, Xin/0000-0003-1772-8623</t>
  </si>
  <si>
    <t>2667-3789</t>
  </si>
  <si>
    <t>RESOUR CONS RECY ADV</t>
  </si>
  <si>
    <t>Resour. Conserv. Recycl. Adv.</t>
  </si>
  <si>
    <t>4KC5G</t>
  </si>
  <si>
    <t>Liu, GX; Wan, W; Nie, Q; Zhang, C; Chen, XL; Lin, WH; Wei, XZ; Huang, YH; Li, J; Wang, C</t>
  </si>
  <si>
    <t>Liu, Ganxiong; Wan, Wang; Nie, Quan; Zhang, Can; Chen, Xinlong; Lin, Weihuang; Wei, Xuezhe; Huang, Yunhui; Li, Ju; Wang, Chao</t>
  </si>
  <si>
    <t>Controllable long-term lithium replenishment for enhancing energy density and cycle life of lithium-ion batteries</t>
  </si>
  <si>
    <t>PRELITHIATION; LI2NIO2; CARBON</t>
  </si>
  <si>
    <t>A persistent challenge plaguing lithium-ion batteries (LIBs) is the consumption of active lithium with the formation of SEI. This leads to an irreversible lithium loss in the initial cycle and a gradual further exhaustion of active lithium in subsequent cycles. While prelithiation has been proven effective in compensating for this loss by introducing additional active lithium into batteries, prior studies have predominantly concentrated on offsetting the initial lithium loss, often overlooking the continuous lithium consumption that occurs throughout cycling. To address this challenge, we employed a sustained in situ lithium replenishment strategy that involves the systematic release of additional lithium inventory through precise capacity control during long-term cycling. Our method utilizes a lithium replenishment separator (LRS) coated with dilithium squarate-carbon nanotube (Li2C4O4-CNT) as the lithium compensation reagent. Placing Li2C4O4 on the separator rather than within the cathode significantly reduces disruptions in conduction pathways and inhibits catalytic reactions with LiFePO4, preventing the formation of carbon residues. When implemented in the LiFePO4||graphite battery system, our approach resulted in an impressive 12.9% capacity improvement in the initial cycle and a remarkable 97.2% capacity retention over 700 cycles, surpassing the comparison group, which exhibited 80% capacity retention after 426 cycles. A controllable and sustainable lithium replenishment strategy was developed to achieve high-energy-density and long-lifespan lithium-ion batteries.</t>
  </si>
  <si>
    <t>[Liu, Ganxiong; Wan, Wang; Nie, Quan; Zhang, Can; Chen, Xinlong; Wang, Chao] Tongji Univ, Sch Mat Sci &amp; Engn, Shanghai 201804, Peoples R China; [Liu, Ganxiong; Wei, Xuezhe] Tongji Univ, Sch Automot Studies, Shanghai 201804, Peoples R China; [Lin, Weihuang] China Univ Min &amp; Technol Beijing, Sch Chem &amp; Environm Engn, Beijing 100083, Peoples R China; [Huang, Yunhui] Huazhong Univ Sci &amp; Technol, Sch Mat Sci &amp; Engn, State Key Lab Mat Proc &amp; Die &amp; Mould Technol, Wuhan 430074, Hubei, Peoples R China; [Li, Ju] MIT, Dept Mat Sci &amp; Engn, Cambridge, MA 02139 USA; [Li, Ju] MIT, Dept Nucl Sci &amp; Engn, Cambridge, MA 02139 USA</t>
  </si>
  <si>
    <t>Tongji University; Tongji University; China University of Mining &amp; Technology; Huazhong University of Science &amp; Technology; Massachusetts Institute of Technology (MIT); Massachusetts Institute of Technology (MIT)</t>
  </si>
  <si>
    <t>Wang, C (corresponding author), Tongji Univ, Sch Mat Sci &amp; Engn, Shanghai 201804, Peoples R China.;Li, J (corresponding author), MIT, Dept Mat Sci &amp; Engn, Cambridge, MA 02139 USA.;Li, J (corresponding author), MIT, Dept Nucl Sci &amp; Engn, Cambridge, MA 02139 USA.</t>
  </si>
  <si>
    <t>liju@mit.edu; chaow@tongji.edu.cn</t>
  </si>
  <si>
    <t>; Wang, Chao/A-4541-2018; Li, Ju/A-2993-2008; Huang, Yunhui/L-6536-2019</t>
  </si>
  <si>
    <t>Nie, Quan/0009-0009-9520-2249; Liu, Ganxiong/0009-0006-1261-321X; Wang, Chao/0000-0002-8369-927X; Li, Ju/0000-0002-7841-8058; Chen, Xinlong/0009-0008-5817-8377;</t>
  </si>
  <si>
    <t>National Key Research and Development Program of China [2022YFB3803400]; National Key Research and Development Program of China [22PJ1413400]; Shanghai Pujiang Program; Fundamental Research Funds for Central Universities</t>
  </si>
  <si>
    <t>National Key Research and Development Program of China(National Key Research &amp; Development Program of China); National Key Research and Development Program of China(National Key Research &amp; Development Program of China); Shanghai Pujiang Program(Shanghai Pujiang Program); Fundamental Research Funds for Central Universities(Fundamental Research Funds for the Central Universities)</t>
  </si>
  <si>
    <t>This work was supported by the National Key Research and Development Program of China (2022YFB3803400), the Shanghai Pujiang Program (22PJ1413400), and the Fundamental Research Funds for Central Universities.</t>
  </si>
  <si>
    <t>1754-5692</t>
  </si>
  <si>
    <t>1754-5706</t>
  </si>
  <si>
    <t>ENERG ENVIRON SCI</t>
  </si>
  <si>
    <t>Energy Environ. Sci.</t>
  </si>
  <si>
    <t>FEB 6</t>
  </si>
  <si>
    <t>10.1039/d3ee03740a</t>
  </si>
  <si>
    <t>DEC 2023</t>
  </si>
  <si>
    <t>Chemistry, Multidisciplinary; Energy &amp; Fuels; Engineering, Chemical; Environmental Sciences</t>
  </si>
  <si>
    <t>Chemistry; Energy &amp; Fuels; Engineering; Environmental Sciences &amp; Ecology</t>
  </si>
  <si>
    <t>GV8Q9</t>
  </si>
  <si>
    <t>WOS:001138897000001</t>
  </si>
  <si>
    <t>Evtikhin, VA; Lyublinski, IE; Vertkov, AV; Mirnov, SV; Lazarev, VB; Petrova, NP; Sotnikov, SM; Chernobai, AP; Khripunov, BI; Petrov, VB; Prokhorov, DY; Korzhavin, VM</t>
  </si>
  <si>
    <t>Lithium divertor concept and results of supporting experiments</t>
  </si>
  <si>
    <t>PLASMA PHYSICS AND CONTROLLED FUSION</t>
  </si>
  <si>
    <t>IAEA Technical Committee Meeting on Divertor Concepts</t>
  </si>
  <si>
    <t>SEP 11-14, 2001</t>
  </si>
  <si>
    <t>AIX PROVENCE, FRANCE</t>
  </si>
  <si>
    <t>IAEA</t>
  </si>
  <si>
    <t>ENERGY; TARGET; WALLS</t>
  </si>
  <si>
    <t>The ITER project development has shown that considerable difficulties are encountered when already known engineering solutions and materials are used for divertor and divertor plates for tokamaks of such a scale. We offer to use a Li capillary-pore system (CPS) as a plasma facing material for tokamak divertor. Evaporated Li serves as a gas target and redistributes thermal load. The heat flux from the plasma is transported to the first wall by Li radiation in the plasma periphery. This allows the divertor plate to reduce the heat flux. A solid CPS filled with liquid lithium has a high resistance to surface damage in the stationary mode and during plasma transitions (disruptions, ELMS, VDEs, runaways) to assure normal operation of the divertor target plates. These materials are not the sources of impurities giving rise to Z(eff) and they will not be collected as dust in the divertor area and in ducts. Experiments with lithium CPS in a steady-state mode (up to 25 MW m(-2)) and in plasma disruption simulation conditions (similar to5 MJ m(-2), similar to0.5 ms) have been performed. High stability of these systems have been shown. Li limiter tests on T-11M tokamak have revealed the lithium CPS compatibility with the edge plasma for energy loads of up to 10 MW m(-2). In a stable discharge mode at lithium limiter temperature of 20-600degreesC, no Li abnormal erosion and injection to plasma have been detected. A high sorption of D+ and H+ ions on the vessel walls was the main substantial result of the replacement of a graphite limiter by lithium one. He and D sorption was terminated by wall heating up to 50-100degreesC and above 350degreesC, respectively. T-11 tests on helium discharge allowed to reduce limiter heat load by a factor of two due to lithium radiation. All the experimental results have shown considerable progress in the development of lithium divertor.</t>
  </si>
  <si>
    <t>State Enterprise Red Star, Prana Ctr, Moscow, Russia; Troitsk Inst Innovat &amp; Fus Res, Troitsk, Moscow Region, Russia; Kurchatov Inst, Nucl Fus Inst RRC, Moscow, Russia; RF Minist Atom Energy, Moscow, Russia</t>
  </si>
  <si>
    <t>Evtikhin, VA (corresponding author), State Enterprise Red Star, Prana Ctr, Moscow, Russia.</t>
  </si>
  <si>
    <t>DIRAC HOUSE, TEMPLE BACK, BRISTOL BS1 6BE, ENGLAND</t>
  </si>
  <si>
    <t>0741-3335</t>
  </si>
  <si>
    <t>PLASMA PHYS CONTR F</t>
  </si>
  <si>
    <t>Plasma Phys. Control. Fusion</t>
  </si>
  <si>
    <t>PII S0741-3335(02)30051-4</t>
  </si>
  <si>
    <t>10.1088/0741-3335/44/6/322</t>
  </si>
  <si>
    <t>578ET</t>
  </si>
  <si>
    <t>WOS:000177105000023</t>
  </si>
  <si>
    <t>Ali, A; Afrin, S; Asif, AH; Arafat, Y; Azhar, MR</t>
  </si>
  <si>
    <t>Ali, Asad; Afrin, Sadia; Asif, Abdul Hannan; Arafat, Yasir; Azhar, Muhammad Rizwan</t>
  </si>
  <si>
    <t>A comprehensive review on the recovery of lithium from lithium-ion batteries and spodumene</t>
  </si>
  <si>
    <t>JOURNAL OF ENVIRONMENTAL MANAGEMENT</t>
  </si>
  <si>
    <t>Lithium-ion batteries; Mining; Spodumene; Carbon footprint; Recycling; Lithium; Economic</t>
  </si>
  <si>
    <t>CATHODE MATERIAL REGENERATION; SPENT LITHIUM; VALUABLE METALS; SELECTIVE EXTRACTION; PROCESS OPTIMIZATION; SUSTAINABLE PROCESS; ELECTRODE MATERIALS; ORGANIC-ACIDS; LI; COBALT</t>
  </si>
  <si>
    <t>The growing demand for Lithium-Ion batteries (LIBs) for use within varied electronics and electric vehicles (EVs) has raised concerns about the sustainability of lithium extraction from natural deposits. This study provides a comprehensive comparison of lithium recovery through mining of spodumene deposits, and the recovery of lithium from used batteries via recycling, in terms of technological, economic and environmental impacts. Lithium recovered through mining and refining operations prompt significant land disruption and soil contamination and possess large ecological, water and carbon footprints. Contrastingly, lithium recovered through battery recycling undergoes successive heat and chemical treatments, leading to waste minimisation and a significant reduction in greenhouse gas (GHG) emissions, up to 17-61 % subject to the recycling techniques employed, without disrupting land or contaminating soil, and occurring at a significantly lower capital cost. Moreover, the water footprint of lithium recovery through recycling is also much lower in contrast with mining. Considering technological, economic and environmental factors, this review paper presents lithium recovered through the recycling of LIBs as a feasible option. Lastly, the study discusses the major challenges and future prospects for improving the feasibility and sustainability of lithium recovery.</t>
  </si>
  <si>
    <t>[Ali, Asad; Afrin, Sadia; Arafat, Yasir; Azhar, Muhammad Rizwan] Edith Cowan Univ, Sch Engn, Joondalup, WA 6027, Australia; [Asif, Abdul Hannan] Univ Western Australia, Sch Mol Sci, Perth, WA 6009, Australia</t>
  </si>
  <si>
    <t>Edith Cowan University; University of Western Australia</t>
  </si>
  <si>
    <t>Azhar, MR (corresponding author), Edith Cowan Univ, Sch Engn, Joondalup, WA 6027, Australia.</t>
  </si>
  <si>
    <t>m.azhar@ecu.edu.au</t>
  </si>
  <si>
    <t>Azhar, Muhammad Rizwan/AAA-2986-2021; Ali, Asad/KVB-0430-2024</t>
  </si>
  <si>
    <t>Azhar, Muhammad Rizwan/0000-0002-5938-282X; Ali, Asad/0000-0002-4261-6845; ASIF, Abdul Hannan/0000-0003-2534-4339</t>
  </si>
  <si>
    <t>ACADEMIC PRESS LTD- ELSEVIER SCIENCE LTD</t>
  </si>
  <si>
    <t>24-28 OVAL RD, LONDON NW1 7DX, ENGLAND</t>
  </si>
  <si>
    <t>0301-4797</t>
  </si>
  <si>
    <t>1095-8630</t>
  </si>
  <si>
    <t>J ENVIRON MANAGE</t>
  </si>
  <si>
    <t>J. Environ. Manage.</t>
  </si>
  <si>
    <t>10.1016/j.jenvman.2025.126512</t>
  </si>
  <si>
    <t>5MJ0W</t>
  </si>
  <si>
    <t>Green Submitted, Green Published, hybrid</t>
  </si>
  <si>
    <t>WOS:001539106600001</t>
  </si>
  <si>
    <t>Li, Y; Yuan, XP; Gan, S; Mu, CS; Lin, Z; Duan, X; Shao, YY; Wang, YY; Hu, L</t>
  </si>
  <si>
    <t>Li, Yan; Yuan, Xiping; Gan, Shu; Mu, Changsi; Lin, Zhi; Duan, Xiong; Shao, Yanyan; Wang, Yanying; Hu, Lin</t>
  </si>
  <si>
    <t>Environmentally Sustainable Lithium Exploration: A Multi-Source Remote Sensing and Comprehensive Analysis Approach for Clay-Type Deposits in Central Yunnan, China</t>
  </si>
  <si>
    <t>carbonate-hosted clay-type lithium deposits; green exploration; remote sensing; geological prospecting</t>
  </si>
  <si>
    <t>Carbonate-hosted clay-type lithium deposits have emerged as strategic resources critical to the global energy transition, yet their exploration faces the dual challenges of technical complexity and environmental sustainability. Traditional methods often entail extensive land disruption, particularly in ecologically sensitive ecosystems where vegetation coverage and weathered layers hinder mineral detection. This study presents a case study of the San Dan lithium deposit in central Yunnan, where we propose a hierarchical anomaly extraction and multidimensional weighted comprehensive analysis. This comprehensive method integrates multi-source data from GF-3 QPSI SAR, GF-5B hyperspectral, and Landsat-8 OLI datasets and is structured around two core parts, as follows: (1) Hierarchical Anomaly Extraction: Utilizing principal component analysis, this part extracts hydroxyl and iron-stained alteration anomalies. It further employs the spectral hourglass technique for the precise identification of lithium-rich minerals, such as montmorillonite and illite. Additionally, concealed structures are extracted using azimuth filtering and structural detection in radar remote sensing. (2) Multidimensional Weighted Comprehensive Analysis: This module applies reclassification, kernel density analysis, and normalization preprocessing to five informational layers-hydroxyl, iron staining, minerals, lithology, and structure. Dynamic weighting, informed by expert experience and experimental adjustments using the weighted weight-of-evidence method, delineates graded target areas. Three priority target areas were identified, with field validation conducted in the most promising area revealing Li2O contents ranging from 0.10% to 0.22%. This technical system, through the collaborative interpretation of multi-source data and quantitative decision-making processes, provides robust support for exploring carbonate-clay-type lithium deposits in central Yunnan. By promoting efficient, data-driven exploration and minimizing environmental disruption, it ensures that lithium extraction meets the growing demand while preserving ecological integrity, setting a benchmark for the sustainable exploration of clay-type lithium deposits worldwide.</t>
  </si>
  <si>
    <t>[Li, Yan; Yuan, Xiping; Gan, Shu; Hu, Lin] Kunming Univ Sci &amp; Technol, Fac Land Resource Engn, Kunming 650093, Peoples R China; [Li, Yan; Lin, Zhi; Shao, Yanyan; Wang, Yanying] Yunnan Satellite Remote Sensing Technol Applicat E, Ctr Spatial Informat Technol, Kunming 650118, Peoples R China; [Yuan, Xiping] West Yunnan Univ Appl Sci, Sch Surveying &amp; Informat Engn, Dali 671000, Peoples R China; [Mu, Changsi] Geol Explorat Inst, 209 Geol Brigade Nucl Ind Yunnan Prov, Kunming 650032, Peoples R China; [Duan, Xiong] China West Normal Univ, Sch Geog Sci, Sichuan Prov Engn Lab Monitoring &amp; Control Soil Er, Nanchong 637009, Peoples R China</t>
  </si>
  <si>
    <t>Kunming University of Science &amp; Technology; West Yunnan University of Applied Sciences; China West Normal University</t>
  </si>
  <si>
    <t>Gan, S (corresponding author), Kunming Univ Sci &amp; Technol, Fac Land Resource Engn, Kunming 650093, Peoples R China.</t>
  </si>
  <si>
    <t>kustliyan@163.com; 12311002@kust.edu.cn; gs@kust.edu.cn; 15912579004@163.com; linzhi8989@163.com; duanxiong00@163.com; yyshao0404@163.com; wangyanying310@163.com; 20230086@kust.edu.cn</t>
  </si>
  <si>
    <t>Li, Yan/0000-0001-9435-5109</t>
  </si>
  <si>
    <t>National Natural Science Foundation of China; Major Science and Technology Special Projects and Key R &amp; D Projects in Yunnan Province [202403ZC380001]; [42367066]; [62361058]</t>
  </si>
  <si>
    <t>National Natural Science Foundation of China(National Natural Science Foundation of China (NSFC)); Major Science and Technology Special Projects and Key R &amp; D Projects in Yunnan Province; ;</t>
  </si>
  <si>
    <t>This work was supported by the National Natural Science Foundation of China under grant [42367066] and [62361058] and Major Science and Technology Special Projects and Key R &amp; D Projects in Yunnan Province in 2024 [202403ZC380001].</t>
  </si>
  <si>
    <t>2071-1050</t>
  </si>
  <si>
    <t>SUSTAINABILITY-BASEL</t>
  </si>
  <si>
    <t>Sustainability</t>
  </si>
  <si>
    <t>APR 21</t>
  </si>
  <si>
    <t>10.3390/su17083732</t>
  </si>
  <si>
    <t>Green &amp; Sustainable Science &amp; Technology; Environmental Sciences; Environmental Studies</t>
  </si>
  <si>
    <t>Science &amp; Technology - Other Topics; Environmental Sciences &amp; Ecology</t>
  </si>
  <si>
    <t>1XG1N</t>
  </si>
  <si>
    <t>WOS:001475819300001</t>
  </si>
  <si>
    <t>GRALLERT, B; NURSE, P; PATTERSON, TE</t>
  </si>
  <si>
    <t>A STUDY OF INTEGRATIVE TRANSFORMATION IN SCHIZOSACCHAROMYCES-POMBE</t>
  </si>
  <si>
    <t>MOLECULAR AND GENERAL GENETICS</t>
  </si>
  <si>
    <t>INTEGRATIVE TRANSFORMATION; GENE DISRUPTION; SCHIZOSACCHAROMYCES-POMBE</t>
  </si>
  <si>
    <t>HIGH-FREQUENCY TRANSFORMATION; FISSION YEAST; GENE DISRUPTION; RECOMBINATION; CELLS; REPLACEMENT; SEQUENCES</t>
  </si>
  <si>
    <t>Using the one-step gene disruption technique, we studied the effect of various parameters on the disruption frequency (percentage of homologous integrants) and transformation efficiency (number of transformants per pg of input DNA) of integrative transformation in Schizosaccharomyces pombe. We used suc1 as the target gene for disruption and ura4 as the selectable marker. Our results are as follows. 1) Use of the strong adh1 promoter to drive the expression of ura4 did not affect the disruption frequency but modestly increased the transformation efficiency. 2) The transformation method had a profound effect, with the lithium acetate method yielding both a 10-fold higher disruption frequency compared to the protoplast method and a 5- to 10-fold higher transformation efficiency. 3) The presence of increasing amounts of non-homologous sequences at the ends of the transforming DNA decreased the disruption frequency by up to 5-fold but had no effect on the transformation efficiency. We also describe the use of the sup3-5 allele in an ade6-704 genetic background to discriminate between the products of homologous versus non-homologous integration, thereby promoting the identification of rare homologous integrants.</t>
  </si>
  <si>
    <t>GRALLERT, B (corresponding author), UNIV OXFORD, DEPT BIOCHEM,MICROBIOL UNIT, IMPERIAL CANC RES FUND,CELL CYCLE CONTROL GRP, S PARKS RD, OXFORD OX1 3QU, ENGLAND.</t>
  </si>
  <si>
    <t>Patterson, Thomas/0000-0003-2989-5517</t>
  </si>
  <si>
    <t>SPRINGER</t>
  </si>
  <si>
    <t>ONE NEW YORK PLAZA, SUITE 4600, NEW YORK, NY, UNITED STATES</t>
  </si>
  <si>
    <t>0026-8925</t>
  </si>
  <si>
    <t>MOL GEN GENET</t>
  </si>
  <si>
    <t>Mol. Gen. Genet.</t>
  </si>
  <si>
    <t>1-2</t>
  </si>
  <si>
    <t>10.1007/BF00279526</t>
  </si>
  <si>
    <t>Biochemistry &amp; Molecular Biology; Genetics &amp; Heredity</t>
  </si>
  <si>
    <t>KY630</t>
  </si>
  <si>
    <t>WOS:A1993KY63000004</t>
  </si>
  <si>
    <t>Kaiser, BC; Clemens, JC; Blouin, S; Dufour, P; Hegedus, RJ; Reding, JS; Bédard, A</t>
  </si>
  <si>
    <t>Kaiser, B. C.; Clemens, J. C.; Blouin, S.; Dufour, P.; Hegedus, R. J.; Reding, J. S.; Bedard, A.</t>
  </si>
  <si>
    <t>Lithium pollution of a white dwarf records the accretion of an extrasolar planetesimal</t>
  </si>
  <si>
    <t>SCIENCE</t>
  </si>
  <si>
    <t>ABUNDANCES; EVOLUTION; HALO</t>
  </si>
  <si>
    <t>Tidal disruption and subsequent accretion of planetesimals by white dwarfs can reveal the elemental abundances of rocky bodies in exoplanetary systems. Those abundances provide information on the composition of the nebula from which the systems formed, which is analogous to how meteorite abundances inform our understanding of the early Solar System. We report the detection of lithium, sodium, potassium, and calcium in the atmosphere of the white dwarf Gaia DR2 4353607450860305024, which we ascribe to the accretion of a planetesimal. Using model atmospheres, we determine abundance ratios of these elements, and, with the exception of lithium, they are consistent with meteoritic values in the Solar System. We compare the measured lithium abundance with measurements in old stars and with expectations from Big Bang nucleosynthesis.</t>
  </si>
  <si>
    <t>[Kaiser, B. C.; Clemens, J. C.; Hegedus, R. J.; Reding, J. S.] Univ North Carolina, Dept Phys &amp; Astron, Chapel Hill, NC 27515 USA; [Blouin, S.] Los Alamos Natl Lab, Los Alamos, NM USA; [Dufour, P.; Bedard, A.] Univ Montreal, Dept Phys, Montreal, PQ, Canada; [Dufour, P.] Univ Montreal, Inst Rech Exoplanetes, Montreal, PQ, Canada</t>
  </si>
  <si>
    <t>University of North Carolina; University of North Carolina Chapel Hill; United States Department of Energy (DOE); Los Alamos National Laboratory; Universite de Montreal; Universite de Montreal</t>
  </si>
  <si>
    <t>Kaiser, BC (corresponding author), Univ North Carolina, Dept Phys &amp; Astron, Chapel Hill, NC 27515 USA.</t>
  </si>
  <si>
    <t>ben.kaiser@unc.edu</t>
  </si>
  <si>
    <t>; Blouin, Simon/ACC-9908-2022; Hegedus, Ryan/AAM-7236-2021</t>
  </si>
  <si>
    <t>Dufour, Patrick/0000-0003-4609-4500; Blouin, Simon/0000-0002-9632-1436; Bédard, Antoine/0000-0002-2384-1326; Hegedus, Ryan/0000-0003-4145-3770; Kaiser, Benjamin/0000-0003-1970-4684; Clemens, James/0000-0003-1964-2612; Reding, Joshua/0000-0003-1862-2951</t>
  </si>
  <si>
    <t>Laboratory Directed Research and Development program of Los Alamos National Laboratory [20190624PRD2]; NSERC (Canada); FRQNT (Quebec)</t>
  </si>
  <si>
    <t>Laboratory Directed Research and Development program of Los Alamos National Laboratory; NSERC (Canada)(Natural Sciences and Engineering Research Council of Canada (NSERC)); FRQNT (Quebec)(Fonds de recherche du Quebec (FRQ)Fonds de recherche du Quebec - Nature et technologies (FRQNT))</t>
  </si>
  <si>
    <t>S.B. acknowledges support from the Laboratory Directed Research and Development program of Los Alamos National Laboratory under project no. 20190624PRD2. A.B. acknowledges support from NSERC (Canada) and the FRQNT (Quebec).</t>
  </si>
  <si>
    <t>AMER ASSOC ADVANCEMENT SCIENCE</t>
  </si>
  <si>
    <t>1200 NEW YORK AVE, NW, WASHINGTON, DC 20005 USA</t>
  </si>
  <si>
    <t>0036-8075</t>
  </si>
  <si>
    <t>1095-9203</t>
  </si>
  <si>
    <t>Science</t>
  </si>
  <si>
    <t>JAN 8</t>
  </si>
  <si>
    <t>10.1126/science.abd1714</t>
  </si>
  <si>
    <t>PQ4MV</t>
  </si>
  <si>
    <t>WOS:000606520400034</t>
  </si>
  <si>
    <t>Vertkov, AV; Lyublinski, IE; Zharkov, MY; Semenov, VV; Azizov, EA; Lazarev, VB; Mirnov, SV</t>
  </si>
  <si>
    <t>Vertkov, A. V.; Lyublinski, I. E.; Zharkov, M. Yu.; Semenov, V. V.; Azizov, E. A.; Lazarev, V. B.; Mirnov, S. V.</t>
  </si>
  <si>
    <t>Progress in development and application of lithium based components for Tokamak</t>
  </si>
  <si>
    <t>11th International Symposium on Fusion Nuclear Technology (ISFNT)</t>
  </si>
  <si>
    <t>SEP 15-20, 2013</t>
  </si>
  <si>
    <t>Barcelona, SPAIN</t>
  </si>
  <si>
    <t>Spanish Energy, Environm &amp; Technol Res Ctr,Energy Res Inst Catalonia</t>
  </si>
  <si>
    <t>Liquid lithium; Plasma facing material; Plasma facing component; Lithium technology</t>
  </si>
  <si>
    <t>SYSTEMS; LIMITER</t>
  </si>
  <si>
    <t>Experiments with lithium plasma facing components (PFCs) show promising results for the operation of hot plasma facilities and the general improvement of plasma parameters. The design and development of new tokamak plasma facing material (PFM) based on lithium capillary porous systems (CPS) are described in this paper. The recent progress in the development of limiters with different kinds of CPS is relevant for protection of tokamak PFCs from damage under normal operation, ELMs and disruptions. New PFM eliminates the lithium flux into plasma, its pollution and lithium accumulation. Here we present an overview of the design and the experimental tests of the liquid lithium limiters. These limiters are based on CPS with hard matrix from stainless steel mesh, molybdenum and tungsten. Different types of limiter have been taken into account: the horizontal and vertical rail type limiters with passive and active cooling for investigation the possibility to provide the closed lithium circulation in tokamak chamber; the ring CPS-based limiter for investigation of lithium behavior in limiter scrape-off layer (SOL). Here we also present the preliminary results of the application of the cryogenic techniques for lithium removal from the chamber wall after operation in hot plasma. (c) 2014 Elsevier B.V. All rights reserved.</t>
  </si>
  <si>
    <t>[Vertkov, A. V.; Lyublinski, I. E.; Zharkov, M. Yu.; Semenov, V. V.] JSC Red Star, Moscow, Russia; [Azizov, E. A.; Lazarev, V. B.; Mirnov, S. V.] SRC TRINITI, Moscow, Russia</t>
  </si>
  <si>
    <t>Vertkov, AV (corresponding author), JSC Red Star, Moscow, Russia.</t>
  </si>
  <si>
    <t>avertkov@yandex.ru</t>
  </si>
  <si>
    <t>; Vertkov, Alexey/JTS-9864-2023; /E-9899-2019</t>
  </si>
  <si>
    <t>Жарков, Михаил/0000-0001-7390-5853; lyublinski, igor/0000-0001-8701-228X; Vertkov, Alexey/0000-0001-7164-2316;</t>
  </si>
  <si>
    <t>7-8</t>
  </si>
  <si>
    <t>10.1016/j.fusengdes.2014.03.073</t>
  </si>
  <si>
    <t>AO6ME</t>
  </si>
  <si>
    <t>WOS:000341465400022</t>
  </si>
  <si>
    <t>Ivanov, LI; Maslyaev, SA; Pimenov, VN; Dyomina, EV; Platov, YM</t>
  </si>
  <si>
    <t>The use of liquid metals in porous materials for divertor applications</t>
  </si>
  <si>
    <t>8th International Conference on Fusion Reactor Materials (ICFRM-8)</t>
  </si>
  <si>
    <t>OCT 26-31, 1997</t>
  </si>
  <si>
    <t>SENDAI, JAPAN</t>
  </si>
  <si>
    <t>Tohoku Univ, Inst Mat Res,Min Educ Sci &amp; Culture Japan, Int Symp Supporting Program,Atom Energy Soc Japan,Iron &amp; Steel Inst Japan,Japan Inst Met,Japan Soc Appl Phys,Japan Soc Plasma Sci &amp; Nucl Fus Res,Japanese Welding Soc,Japanese High Temp Soc,Amer Nucl Soc,AIME &amp; ASM, Nucl Met Comm,British Nucl Energy Soc,European Nucl Soc,Japan Convent Bur</t>
  </si>
  <si>
    <t>Features of using capillary porous materials (stainless steel, tungsten, graphite) cooled by liquid lithium for divertor module of thermonuclear fusion reactor have been considered. Temperature distribution in divertor plate under the power density of 10 MW/m(2) was calculated for steady state and pulsed heat influences. The surface temperature as a function of power density and dependence of lithium evaporation yield on temperature was evaluated. Thickness of cover lithium layer with safe porous material against direct pulse heat influence type of plasma disruption (power density in the range of (1-5)10(3) MW/m(2)) was estimated. Concerning the problem under consideration, features of hydrodynamic and capillary effects as well as chemical interaction between lithium and investigated materials have been discussed. (C) 1999 Elsevier Science B.V. All rights reserved.</t>
  </si>
  <si>
    <t>Russian Acad Sci, AA Baikov Met Inst, Moscow 117911, Russia</t>
  </si>
  <si>
    <t>Russian Academy of Sciences; Baikov Institute of Metallurgy &amp; Materials Science (IMET RAS)</t>
  </si>
  <si>
    <t>Pimenov, VN (corresponding author), Russian Acad Sci, AA Baikov Met Inst, Leninsky Pr 49, Moscow 117911, Russia.</t>
  </si>
  <si>
    <t>pimenov@sci.lpi.msk.su</t>
  </si>
  <si>
    <t>10.1016/S0022-3115(98)00795-8</t>
  </si>
  <si>
    <t>204RG</t>
  </si>
  <si>
    <t>WOS:000080777500082</t>
  </si>
  <si>
    <t>GIETZ, RD; SCHIESTL, RH</t>
  </si>
  <si>
    <t>APPLICATIONS OF HIGH-EFFICIENCY LITHIUM-ACETATE TRANSFORMATION OF INTACT YEAST-CELLS USING SINGLE-STRANDED NUCLEIC-ACIDS AS CARRIER</t>
  </si>
  <si>
    <t>CLONING GENES; TOXIC; ESCHERICHIA-COLI; NONSELECTIVE TRANSFORMATION; COTRANSFORMATION; ONE-STEP GENE DISRUPTION; DELETION; LIGATION LIBRARIES</t>
  </si>
  <si>
    <t>SACCHAROMYCES-CEREVISIAE; ESCHERICHIA-COLI; CHROMOSOMAL REPLICATOR; NUCLEOTIDE-SEQUENCE; GENE DISRUPTION; EXCISION REPAIR; S-CEREVISIAE; RAD4 GENE; URA3 GENE; DNA</t>
  </si>
  <si>
    <t>The highly efficient yeast lithium acetate transformation protocol of Schiestl and Gietz (1989) was tested for its applicability to some of the most important needs of current yeast molecular biology. The method allows efficient cloning of genes by direct transformation of gene libraries into yeast. When a random gene pool ligation reaction was transformed into yeast, the LEU2, HIS3, URA3, TRP1 and ARG4 genes were found among the primary transformants at a frequency of approximately 0.1%. The RAD4 gene, which is toxic to Escherichia coli, was also identified among the primary transformants of a ligation library at a frequency of 0.18%. Non-selective transformation using this transformation protocol was shown to increase the frequency of gene disruption three-fold. Co-transformation showed that 30-40% of the transformation-competent cells take up more than one DNA molecule which can be used to enrich for integration and deletion events 30- to 60-fold. Co-transformation was used in the construction of simultaneous double gene disruptions as well as disrupting both copies of one gene in a diploid which occurred at 2-5% the frequency of the single event.</t>
  </si>
  <si>
    <t>UNIV ROCHESTER,DEPT BIOL,ROCHESTER,NY 14627</t>
  </si>
  <si>
    <t>University of Rochester</t>
  </si>
  <si>
    <t>NCI NIH HHS [CA41261, CA35035] Funding Source: Medline</t>
  </si>
  <si>
    <t>NCI NIH HHS(United States Department of Health &amp; Human ServicesNational Institutes of Health (NIH) - USANIH National Cancer Institute (NCI))</t>
  </si>
  <si>
    <t>JOHN WILEY &amp; SONS LTD</t>
  </si>
  <si>
    <t>W SUSSEX</t>
  </si>
  <si>
    <t>BAFFINS LANE CHICHESTER, W SUSSEX, ENGLAND PO19 1UD</t>
  </si>
  <si>
    <t>10.1002/yea.320070307</t>
  </si>
  <si>
    <t>FL503</t>
  </si>
  <si>
    <t>WOS:A1991FL50300006</t>
  </si>
  <si>
    <t>Nolen, JA; Reed, CB; Novick, VJ; Specht, JR; Bogaty, JM; Plotkin, P; Momozaki, Y</t>
  </si>
  <si>
    <t>Behavior of liquid lithium jet irradiated by 1 MeV electron beams up to 20 kW - art. no. 073501</t>
  </si>
  <si>
    <t>RIA</t>
  </si>
  <si>
    <t>Experiments were conducted to demonstrate the stable operation of the windowless liquid lithium target under extreme thermal loads that are equivalent to uranium beams from the proposed Rare Isotope Accelerator (RIA) driver linac. The cross section of the windowless liquid lithium target was 5 mmx10 mm and the velocity of the liquid lithium was varied up to 6 m/s. Thermal loads up to 20 kW within a beam spot of 1 mm in diameter were applied on the windowless liquid lithium target by 1 MeV electron beams. The maximum power density and total power deposited within the target was equivalent to that of a 200 kW, 400 MeV/u uranium beam. It was demonstrated that the windowless liquid lithium target flowing at as low as 1.8 m/s stably operates at a beam energy deposition up to 20 kW without disruption or excess vaporization. (c) 2005 American Institute of Physics.</t>
  </si>
  <si>
    <t>Argonne Natl Lab, Nucl Engn Div, 9700 S Cass Ave, Argonne, IL 60439 USA; Argonne Natl Lab, Phys Div, Argonne, IL 60439 USA; Argonne Natl Lab, Energy Technol Div, Argonne, IL 60439 USA; Argonne Natl Lab, Nucl Engn Div, Argonne, IL 60439 USA</t>
  </si>
  <si>
    <t>United States Department of Energy (DOE); Argonne National Laboratory; United States Department of Energy (DOE); Argonne National Laboratory; United States Department of Energy (DOE); Argonne National Laboratory; United States Department of Energy (DOE); Argonne National Laboratory</t>
  </si>
  <si>
    <t>Nolen, JA (corresponding author), Argonne Natl Lab, Nucl Engn Div, 9700 S Cass Ave, Argonne, IL 60439 USA.</t>
  </si>
  <si>
    <t>Momozaki, Yoichi/0009-0005-0754-403X; Nolen, Jerry/0000-0002-2160-0422</t>
  </si>
  <si>
    <t>AIP Publishing</t>
  </si>
  <si>
    <t>1305 WALT WHITMAN RD, STE 300, MELVILLE, NY 11747-4501 USA</t>
  </si>
  <si>
    <t>1089-7623</t>
  </si>
  <si>
    <t>JUL</t>
  </si>
  <si>
    <t>10.1063/1.1942530</t>
  </si>
  <si>
    <t>944NU</t>
  </si>
  <si>
    <t>WOS:000230436600014</t>
  </si>
  <si>
    <t>Apicella, ML; Mazzitelli, G; Ridolfini, VP; Lazarev, V; Alekseyev, A; Vertkov, A; Zagórski, R</t>
  </si>
  <si>
    <t>Apicella, M. L.; Mazzitelli, G.; Ridolfini, V. Pericoll; Lazarev, V.; Alekseyev, A.; Vertkov, A.; Zagorski, R.</t>
  </si>
  <si>
    <t>FTU Team</t>
  </si>
  <si>
    <t>First experiments with lithium limiter on FTU</t>
  </si>
  <si>
    <t>17th International Conference on Plasma-Surface Interactions in Controlled Fusion Devices</t>
  </si>
  <si>
    <t>MAY 22-26, 2006</t>
  </si>
  <si>
    <t>Hefei, PEOPLES R CHINA</t>
  </si>
  <si>
    <t>Inst Plasma Phys,Chinese Acad Sci, Bur Int Cooperat,Natl Nat Sci Fdn China</t>
  </si>
  <si>
    <t>FTU; limiter materials; liquid lithium; wall conditioning; plasma facing components</t>
  </si>
  <si>
    <t>TOKAMAK</t>
  </si>
  <si>
    <t>A liquid lithium limiter (LLL) with capillary porous system has been tested for the first time on the high field medium size tokamak, FTU. Lithium acts as a first wall material in the liquid phase and as a conditioning technique by depositing a lithium film on the walls (lithization). Thermal loads exceeding 5 MW/m(2) have been so far applied to the LLL surface during plasma discharges: no anomalous Li influx, like 'lithium bloom', occurs and no surface damage is observed, even after plasma disruptions. Radiation losses, plasma contamination and working gas recycling are reduced after Li coating of the wall as for boronization but with better results. A large electron temperature increase (similar to 50%) in the scrape-off layer occurs that is well reproduced by the simulation of 2D code TECXY. The Greenwald density limit is easily reached and even exceeded in the explored plasma current ranges (I-p = 0.50-0.9 MA). (c) 2007 Elsevier B.V. All rights reserved.</t>
  </si>
  <si>
    <t>EURATOM, ENEA Sulla Fus, Ctr Ric Frascati, I-00044 Frascati, Italy; Troitsk Inst Innovat &amp; Fus Res, Troitsk 142190, Moscow Region, Russia; Fed State Unitary Enterprise Red Star, Moscow 115230, Russia; EURATOM, Inst Plasma Phys &amp; Laser Microfus, PL-01497 Warsaw, Poland</t>
  </si>
  <si>
    <t>Euratom; Italian National Agency New Technical Energy &amp; Sustainable Economics Development; Italian National Agency New Technical Energy &amp; Sustainable Economics Development; Institute of Plasma Physics &amp; Laser Microfusion (IFPiLM); Euratom</t>
  </si>
  <si>
    <t>Apicella, ML (corresponding author), EURATOM, ENEA Sulla Fus, Ctr Ric Frascati, CP 65, I-00044 Frascati, Italy.</t>
  </si>
  <si>
    <t>Apicella@frascati.enea.it; Mazzitelli@frascati.enea.it</t>
  </si>
  <si>
    <t>JUN 15</t>
  </si>
  <si>
    <t>10.1016/j.jnucmat.2007.01.237</t>
  </si>
  <si>
    <t>184QQ</t>
  </si>
  <si>
    <t>WOS:000247657200237</t>
  </si>
  <si>
    <t>Ha, NTT</t>
  </si>
  <si>
    <t>Ha, Nguyen Thi Thanh</t>
  </si>
  <si>
    <t>The influence of pressure on the structural transformation and diffusion mechanism in lithium-silicate melt: Molecular dynamics simulation</t>
  </si>
  <si>
    <t>INTERNATIONAL JOURNAL OF MODERN PHYSICS B</t>
  </si>
  <si>
    <t>Structural transformation; mechanism diffusion; network-former; lithium-silicate</t>
  </si>
  <si>
    <t>MEDIUM-RANGE ORDER; SODIUM-SILICATE; GLASSES; RAMAN; TRANSPORT</t>
  </si>
  <si>
    <t>The structural transformation and diffusion mechanism of lithium-silicate melt is carried by molecular dynamics method. In order to investigate the nature of the pressure-induced structural transformations, the pair radial distribution function (PRDF), distribution of SiOx, OSiy and LiOz coordination units, bond angle distribution (BAD) and bond distance distribution (BDD) are analyzed. The investigation reveals that there is a structural transformation in the structure of lithium-silicate. The addition of alkali oxides results in the formation of nonbridging oxygens (NBOs) by disruption of the Si-O network and it has a slight effect on the topology of SiOx and OSiy units. Furthermore, we show that the diffusion of network-former atom in lithium-silicate melt is anomaly and Li atoms have significantly faster diffusion rate than those of oxygen or silicon atoms. Therefore, there is an existence of two diffusion mechanisms in lithium-silicate.</t>
  </si>
  <si>
    <t>[Ha, Nguyen Thi Thanh] Hanoi Univ Sci &amp; Technol, 1 Dai Co Viet, Hanoi, Vietnam</t>
  </si>
  <si>
    <t>Hanoi University of Science &amp; Technology (HUST)</t>
  </si>
  <si>
    <t>Ha, NTT (corresponding author), Hanoi Univ Sci &amp; Technol, 1 Dai Co Viet, Hanoi, Vietnam.</t>
  </si>
  <si>
    <t>ha.nguyenthithanh1@hust.edu.vn</t>
  </si>
  <si>
    <t>Vietnam National Foundation for Science and Technology Development (NAFOSTED) [103.05-2019.35]</t>
  </si>
  <si>
    <t>Vietnam National Foundation for Science and Technology Development (NAFOSTED)(National Foundation for Science &amp; Technology Development (NAFOSTED))</t>
  </si>
  <si>
    <t>This research is funded by Vietnam National Foundation for Science and Technology Development (NAFOSTED) under Grant No. 103.05-2019.35.</t>
  </si>
  <si>
    <t>WORLD SCIENTIFIC PUBL CO PTE LTD</t>
  </si>
  <si>
    <t>SINGAPORE</t>
  </si>
  <si>
    <t>5 TOH TUCK LINK, SINGAPORE 596224, SINGAPORE</t>
  </si>
  <si>
    <t>0217-9792</t>
  </si>
  <si>
    <t>1793-6578</t>
  </si>
  <si>
    <t>INT J MOD PHYS B</t>
  </si>
  <si>
    <t>Int. J. Mod. Phys. B</t>
  </si>
  <si>
    <t>DEC 30</t>
  </si>
  <si>
    <t>10.1142/S0217979220503129</t>
  </si>
  <si>
    <t>Physics, Applied; Physics, Condensed Matter; Physics, Mathematical</t>
  </si>
  <si>
    <t>PM2TW</t>
  </si>
  <si>
    <t>WOS:000603659400001</t>
  </si>
  <si>
    <t>Müller, JM; Kunderer, R</t>
  </si>
  <si>
    <t>Mueller, Julian Marius; Kunderer, Raphael</t>
  </si>
  <si>
    <t>Ex-Ante Prediction of Disruptive Innovation: The Case of Battery Technologies</t>
  </si>
  <si>
    <t>disruptive innovation; ex-ante prediction; battery technologies; energy storage systems; disruption hazard model; redox-flow batteries; lithium-ion batteries</t>
  </si>
  <si>
    <t>ELECTRICAL ENERGY-STORAGE; REDOX FLOW BATTERIES; INCUMBENT FIRMS; OVERLOOKED ROLE; ION BATTERIES; PRODUCT; EMERGENCE; INDUSTRY; SYSTEMS; MODELS</t>
  </si>
  <si>
    <t>Battery technologies represent a highly relevant field that is undergoing conversions in the context of, for instance, battery electric vehicles or stationary power storage for renewable energies. Currently, lithium-ion batteries represent the predominant technology that has, however, a considerable environmental impact that could hinder the emergence of sustainable energy systems. Driven by these conversions, several authors claim that potentially disruptive technologies could occur. The concept of disruptive innovation has been highly regarded in research and practice, but has only been successfully regarded from an ex-post perspective. However, without the possibility to establish ex-ante predictions of disruptive innovation, several authors disregard the concept of having significant relevance for practice. In response to this research gap, the present paper attempts to establish an ex-ante prediction of potential disruptive innovation. The method is based on the disruption hazard model by Sood and Tellis, testing seven hypotheses regarding a potential disruption hazard of redox-flow batteries towards lithium-ion batteries. The paper finds that redox-flow batteries could represent a disruptive technology, but this evaluation is limited to an expert evaluation. The authors discuss this finding, as the technical characteristics of redox-flow batteries support its role as a potential disruptive innovation, concluding with implications, limitations as well as suggestions for future research.</t>
  </si>
  <si>
    <t>[Mueller, Julian Marius] Salzburg Univ Appl Sci, Business Management, A-5412 Salzburg, Austria; [Kunderer, Raphael] Friedrich Alexander Univ Erlangen Nurnberg, Sch Business Econ &amp; Soc, D-91054 Erlangen, Germany</t>
  </si>
  <si>
    <t>University of Erlangen Nuremberg</t>
  </si>
  <si>
    <t>Müller, JM (corresponding author), Salzburg Univ Appl Sci, Business Management, A-5412 Salzburg, Austria.</t>
  </si>
  <si>
    <t>julian.mueller@fh-salzburg.ac.at; raphael.kunderer@fau.de</t>
  </si>
  <si>
    <t>Müller, Julian/I-9000-2019</t>
  </si>
  <si>
    <t>Müller, Julian/0000-0002-7372-2405</t>
  </si>
  <si>
    <t>ST ALBAN-ANLAGE 66, CH-4052 BASEL, SWITZERLAND</t>
  </si>
  <si>
    <t>10.3390/su11195229</t>
  </si>
  <si>
    <t>JI5RS</t>
  </si>
  <si>
    <t>WOS:000493525500088</t>
  </si>
  <si>
    <t>Mirnov, SV; Lazarev, VB; Sotnikov, SM; Evtikhin, VA; Lyublinski, IE; Vertkov, AV</t>
  </si>
  <si>
    <t>T-11M Team</t>
  </si>
  <si>
    <t>Li-CPS limiter in tokamak T-11M</t>
  </si>
  <si>
    <t>International Workshop on Innovative Concepts for Plasma-Interactive Components</t>
  </si>
  <si>
    <t>MAY 23-25, 2002</t>
  </si>
  <si>
    <t>OSAKA, JAPAN</t>
  </si>
  <si>
    <t>tokamak; limiter; divertor; lithium; capillary pore system</t>
  </si>
  <si>
    <t>FUSION-REACTOR DIVERTOR; CAPILLARY-PORE SYSTEMS; EDGE</t>
  </si>
  <si>
    <t>This paper is a review of the experimental investigations of Li-behavior as limiter material in real tokamak. All experiments were performed in tokamak T-11 M with main parameters: plasma current, I-p = 100 kA; duration of the discharge 0.1 s, toroidal magnetic field, B = 1 T; major radius, R = 0.7 m; minor radius, a= 0. 19-0.23 m; average electron density, n(e) similar to (1-5) x 10(19) m(-3) and electron temperature, Te(0) similar to 0.3-0.5 keV. Two moving limiters with similar geometry were installed for comparison in chamber-the conventional graphite-boron limiter and Li-limiter on the basis of capillary pore system (CPS). The Li-influx to plasma was measured by visible, UV and SX plasma emission. The main experimental results were: (a) no dramatic bursts of lithium injection at heat load close to the tokamak reactor level, similar to 10 MW/m(2), were observed, (b) the total lithium erosion from limiter can be explained by deuterium plus lithium ions sputtering (self-sputtering), (c) high lithium radiation during disruptions prevent Li-limiter from high power load, and (d) the solid basis of CPS limiter had no damages after more than 200 shots with disruptions. The main effect of lithium use in T-11 M was the rise of the first wall getter properties, i.e. recycling reduction for not only H-2 and D-2 but for He too. The temperature of hydrogen isotopes desorption was 350-400 degreesC and He desorption was 50100 degreesC. (C) 2003 Published by Elsevier Science B.V.</t>
  </si>
  <si>
    <t>Troitsk Inst Innovat &amp; Fus Res, Troitsk 142190, Russia; Prana Ctr Co, State Enterprise Res Star, Moscow, Russia</t>
  </si>
  <si>
    <t>Mirnov, SV (corresponding author), Troitsk Inst Innovat &amp; Fus Res, Troitsk 142190, Russia.</t>
  </si>
  <si>
    <t>smirnov@pppl.gov</t>
  </si>
  <si>
    <t>10.1016/S0920-3796(03)00018-8</t>
  </si>
  <si>
    <t>687UL</t>
  </si>
  <si>
    <t>WOS:000183395300017</t>
  </si>
  <si>
    <t>Lithium resources; Supply chain network; Material flow analysis; Complex network analysis; Resilience assessment</t>
  </si>
  <si>
    <t>MATERIAL FLOW-ANALYSIS; COMPLEX NETWORK; COBALT; TRANSPORTATION; SUSTAINABILITY; STABILITY; DYNAMICS; SYSTEM</t>
  </si>
  <si>
    <t>Beijing Normal University; China University of Mining &amp; Technology; Beijing Normal University</t>
  </si>
  <si>
    <t>Chen, Bin/A-6951-2012; Meng, Zheng/GPS-8380-2022</t>
  </si>
  <si>
    <t>Meng, Zheng/0000-0002-8268-9344</t>
  </si>
  <si>
    <t>National Natural Science Foundation of China [72091511, 72103022]; Beijing Outstanding Scientist Program [BJJWZYJH01201910027031]; Beijing Natural Science Foundation [9222017]</t>
  </si>
  <si>
    <t>National Natural Science Foundation of China(National Natural Science Foundation of China (NSFC)); Beijing Outstanding Scientist Program; Beijing Natural Science Foundation(Beijing Natural Science Foundation)</t>
  </si>
  <si>
    <t>Acknowledgements This work was supported by National Natural Science Foundation of China (72091511, 72103022) , Beijing Outstanding Scientist Program (BJJWZYJH01201910027031) , and Beijing Natural Science Foundation (9222017) .</t>
  </si>
  <si>
    <t>Z0KW1</t>
  </si>
  <si>
    <t>Olsen, II; Barker, J; Koksbang, R</t>
  </si>
  <si>
    <t>Impedance measurements on the lithium-polymer electrolyte interface</t>
  </si>
  <si>
    <t>SOLID STATE IONICS</t>
  </si>
  <si>
    <t>lithium battery; interface; polymer electrolyte; vanadium oxide (V6O13)</t>
  </si>
  <si>
    <t>ELECTROCHEMICAL-BEHAVIOR; PROPYLENE</t>
  </si>
  <si>
    <t>The interfacial properties of the lithium electrode in contact with a solvent plasticized polymer electrolyte have been probed by ac and de impedance methods. The behavior and nature of this interface layer were characterized, under both static (open circuit) and dynamic (cell cycling) conditions, Measurements have been carried out primarily in symmetrical Li/Li and Li/V6O13 cells, some of which had incorporated a suitable reference electrode. Due to the PC/LiAsF6 content of the polymeric electrolyte, a conductivity exceeding 1 mS/cm at room temperature was achieved. The initial Li/V6O13 cell impedance was shown to be strongly dominated by the pristine layer present on the lithium. During passage of charge through the layer, disruption of the layer occurs as evidenced by the simultaneously decreasing cell impedance. A new layer is formed by reaction between the electrolyte components and the lithium metal. During the first few cycles, the impedance of the lithium electrode gradually decreases. This is presumably caused by a gradual increase in electrode surface area due to roughening of the lithium surface.</t>
  </si>
  <si>
    <t>VALENCE TECHNOL INC,HENDERSON,NV 89015</t>
  </si>
  <si>
    <t>0167-2738</t>
  </si>
  <si>
    <t>Solid State Ion.</t>
  </si>
  <si>
    <t>10.1016/0167-2738(95)00241-3</t>
  </si>
  <si>
    <t>Chemistry, Physical; Physics, Condensed Matter</t>
  </si>
  <si>
    <t>Chemistry; Physics</t>
  </si>
  <si>
    <t>TV339</t>
  </si>
  <si>
    <t>WOS:A1996TV33900014</t>
  </si>
  <si>
    <t>Eskandari, MR; Fard, JK; Hosseini, MJ; Pourahmad, J</t>
  </si>
  <si>
    <t>Eskandari, Mohammad Reza; Fard, Javad Khalili; Hosseini, Mir-Jamal; Pourahmad, Jalal</t>
  </si>
  <si>
    <t>Glutathione mediated reductive activation and mitochondrial dysfunction play key roles in lithium induced oxidative stress and cytotoxicity in liver</t>
  </si>
  <si>
    <t>BIOMETALS</t>
  </si>
  <si>
    <t>Lithium; Glutathione; Oxidative stress; Methylation; Hepatotoxicity</t>
  </si>
  <si>
    <t>TOXIC CROSS-TALK; RED-BLOOD-CELLS; ANTIOXIDATIVE ENZYMES; MECHANISMS; EXPRESSION; SEARCH</t>
  </si>
  <si>
    <t>Lithium preparations are commonly used drug in treating mental disorders and bipolar diseases, but metal's cytotoxic mechanisms have not yet been completely understood. In this study, we investigated the cytotoxic mechanisms of lithium in freshly isolated rat hepatocytes. Lithium cytotoxicity were associated with reactive oxygen species (ROS) formation and collapse of mitochondrial membrane potential and cytochrome c release into the hepatocyte cytosol. All of the mentioned lithium-induced cytotoxicity markers were significantly (P &lt; 0.05) prevented by ROS scavengers, antioxidants, mitochondrial permeability transition pore sealing agents and adenosine triphosphate generators. Hepatocyte glutathione (GSH) was also rapidly oxidized and GSH-depleted hepatocytes were more resistant to lithium-induced oxidative stress markers. This suggests that lithium is activated by GSH. Our results also showed that CYP2E1 is involved in lithium oxidative stress mechanism. Lithium cytotoxicity was also associated with mitochondrial injuries initiated by increased ROS formation resulted from metal-CYP2E1 destructive interaction or metal-induced disruption of mitochondrial electron transfer chain. Methyl donors such as betaine, methionine, or folic acid prevented lithium cytotoxicity, and this suggests that this metal is detoxified by phase II metabolic methylation. In conclusion lithium-induced cytotoxicity could be attributed to oxidative stress and mitochondrial dysfunction.</t>
  </si>
  <si>
    <t>[Fard, Javad Khalili; Hosseini, Mir-Jamal; Pourahmad, Jalal] Shahid Beheshti Univ Med Sci, Fac Pharm, Tehran, Iran; [Eskandari, Mohammad Reza; Hosseini, Mir-Jamal] Zanjan Univ Med Sci, Dept Pharmacol &amp; Toxicol, Sch Pharm, Zanjan, Iran</t>
  </si>
  <si>
    <t>Shahid Beheshti University Medical Sciences</t>
  </si>
  <si>
    <t>Pourahmad, J (corresponding author), Shahid Beheshti Univ Med Sci, Fac Pharm, POB 14155-6153, Tehran, Iran.</t>
  </si>
  <si>
    <t>j.pourahmadjaktaji@utoronto.ca</t>
  </si>
  <si>
    <t>Khalili Fard, Javad/F-9887-2017; Pourahmad, Jalal/AAX-1920-2020; Hosseini, Mir-Jamal/Y-4721-2018; Eskandari, Mohammad Reza/A-5849-2017</t>
  </si>
  <si>
    <t>Khalili Fard, Javad/0000-0002-0353-1806; Pourahmad, Jalal/0000-0002-4555-4168; Hosseini, Mir-Jamal/0000-0001-6300-7398; Eskandari, Mohammad Reza/0000-0001-6219-7185</t>
  </si>
  <si>
    <t>DORDRECHT</t>
  </si>
  <si>
    <t>VAN GODEWIJCKSTRAAT 30, 3311 GZ DORDRECHT, NETHERLANDS</t>
  </si>
  <si>
    <t>0966-0844</t>
  </si>
  <si>
    <t>1572-8773</t>
  </si>
  <si>
    <t>Biometals</t>
  </si>
  <si>
    <t>10.1007/s10534-012-9552-8</t>
  </si>
  <si>
    <t>999QJ</t>
  </si>
  <si>
    <t>WOS:000308329000003</t>
  </si>
  <si>
    <t>Erdem, B; Arslan, OC; Sevin, S; Gozen, AG; Agosto-Rivera, JL; Giray, T; Alemdar, H</t>
  </si>
  <si>
    <t>Erdem, Babur; Arslan, Okan Can; Sevin, Sedat; Gozen, Ayse Gul; Agosto-Rivera, Jose L.; Giray, Tugrul; Alemdar, Hande</t>
  </si>
  <si>
    <t>Effects of lithium on locomotor activity and circadian rhythm of honey bees</t>
  </si>
  <si>
    <t>CONTROLLED 18-MONTH TRIAL; MAINTENANCE TREATMENT; BEHAVIOR; PERIOD; LIGHT; LAMOTRIGINE; DISRUPTION</t>
  </si>
  <si>
    <t>Lithium has been considered a potential acaricidal agent against the honey bee (Apis mellifera) parasite Varroa. It is known that lithium suppresses elevated activity and regulates circadian rhythms and light response when administered to humans as a primary therapeutic chemical for bipolar disorder and to other bipolar syndrome model organisms, given the crucial role of timing in the bee's foraging activity and the alternating sunlight vs dark colony environment bees are exposed, we explored the influence of lithium on locomotor activity (LMA) and circadian rhythm of honey bees. We conducted acute and chronic lithium administration experiments, altering light conditions and lithium doses to assess LMA and circadian rhythm changes. We fed bees one time 10 mu l sucrose solution with 0, 50, 150, and 450 mM LiCl in the acute application experiment and 0, 1, 5, and 10 mmol/kg LiCl ad libitum in bee candy in the chronic application experiment. Both acute and chronic lithium treatments significantly decreased the induced LMA under constant light. Chronic lithium treatment disrupted circadian rhythmicity in constant darkness. The circadian period was lengthened by lithium treatment under constant light. We discuss the results in the context of Varroa control and lithium's effect on bipolar disorder.</t>
  </si>
  <si>
    <t>[Erdem, Babur; Gozen, Ayse Gul] Middle East Tech Univ, Dept Biol Sci, Ankara, Turkiye; [Erdem, Babur; Arslan, Okan Can] Middle East Tech Univ, Ctr Robot &amp; Artificial Intelligence ROMER, Ankara, Turkiye; [Sevin, Sedat] Ankara Univ, Dept Pharmacol &amp; Toxicol, Fac Vet Med, Ankara, Turkiye; [Agosto-Rivera, Jose L.; Giray, Tugrul] Univ Puerto Rico, Dept Biol, Rio Piedras, PR USA; [Alemdar, Hande] Middle East Tech Univ, Dept Comp Engn, Ankara, Turkiye</t>
  </si>
  <si>
    <t>Middle East Technical University; Middle East Technical University; Ankara University; University of Puerto Rico; University of Puerto Rico Medical Sciences Campus; University of Puerto Rico Rio Piedras; Middle East Technical University</t>
  </si>
  <si>
    <t>Erdem, B (corresponding author), Middle East Tech Univ, Dept Biol Sci, Ankara, Turkiye.;Erdem, B (corresponding author), Middle East Tech Univ, Ctr Robot &amp; Artificial Intelligence ROMER, Ankara, Turkiye.</t>
  </si>
  <si>
    <t>ebabur@metu.edu.tr</t>
  </si>
  <si>
    <t>Alemdar, Hande/D-3270-2014; Erdem, Babur/JRY-6020-2023; Giray, Tugrul/K-9570-2013; Gozen, Ayse Gul/AAC-3952-2019; Sevin, Sedat/AAG-7731-2020</t>
  </si>
  <si>
    <t>Alemdar, Hande/0000-0002-1397-2146; Erdem, Babur/0000-0002-5119-834X; Gozen, Ayse Gul/0000-0001-5479-051X; Sevin, Sedat/0000-0003-0475-9092</t>
  </si>
  <si>
    <t>Scientific and Technological Research Council of Turkiye [TuBTAK] [122E014]; U.S. National Science Foundation [2318597, 2231637, 1736019]; Middle East Technical University Research Fund [HDESP-312-2021-10868, GAP-312-2022-10845]</t>
  </si>
  <si>
    <t>Scientific and Technological Research Council of Turkiye [TuBTAK]; U.S. National Science Foundation(National Science Foundation (NSF)); Middle East Technical University Research Fund(Middle East Technical University)</t>
  </si>
  <si>
    <t>This work was supported by The Scientific and Technological Research Council of Turkiye [TuBTAK grant number: 122E014]; the U.S. National Science Foundation [Award #s: 2318597; 2231637; 1736019]; and the Middle East Technical University Research Fund [BAP grant numbers: HDESP-312-2021-10868; GAP-312-2022-10845]. This article was produced from the research conducted by the corresponding author as part of his doctoral dissertation.</t>
  </si>
  <si>
    <t>NOV 13</t>
  </si>
  <si>
    <t>10.1038/s41598-023-46777-7</t>
  </si>
  <si>
    <t>ER9U4</t>
  </si>
  <si>
    <t>WOS:001140776000002</t>
  </si>
  <si>
    <t>Cook, LL; Persinger, MA</t>
  </si>
  <si>
    <t>Subclinical dosages of lithium and pilocarpine that do not evoke overt seizures affect long-term spatial memory but not learning in rats</t>
  </si>
  <si>
    <t>PERCEPTUAL AND MOTOR SKILLS</t>
  </si>
  <si>
    <t>After training in an automated radial maze, 11 male rats were injected with either subclinical dosages of lithium and pilocarpine or saline and then tested 5 days or 4 months later. When employed as their own controls or when compared with a saline-injected reference group, the rats that had received the lithium and pilocarpine displayed memory deficits but not learning deficits after the longest of the two delays (effect size was 41%). These results suggest that subtle disruptions in memory but not learning to criterion could be associated with subclinical electrical seizures or the micromorphological changes associated with this activity.</t>
  </si>
  <si>
    <t>Laurentian Univ, Neurosci Lab, Sudbury, ON P3E 2C6, Canada</t>
  </si>
  <si>
    <t>Laurentian University</t>
  </si>
  <si>
    <t>Persinger, MA (corresponding author), Laurentian Univ, Neurosci Lab, Ramsey Lake Rd, Sudbury, ON P3E 2C6, Canada.</t>
  </si>
  <si>
    <t>PERCEPTUAL MOTOR SKILLS</t>
  </si>
  <si>
    <t>MISSOULA</t>
  </si>
  <si>
    <t>PO BOX 9229, MISSOULA, MT 59807 USA</t>
  </si>
  <si>
    <t>0031-5125</t>
  </si>
  <si>
    <t>PERCEPT MOTOR SKILL</t>
  </si>
  <si>
    <t>Percept. Mot. Skills</t>
  </si>
  <si>
    <t>10.2466/pms.1998.86.3c.1288</t>
  </si>
  <si>
    <t>Psychology, Experimental</t>
  </si>
  <si>
    <t>105BD</t>
  </si>
  <si>
    <t>WOS:000075051600030</t>
  </si>
  <si>
    <t>Wang, JY; Leiston-Belanger, JM; Sievert, JD; Russell, TP</t>
  </si>
  <si>
    <t>Wang, Jia-Yu; Leiston-Belanger, Julie M.; Sievert, James D.; Russell, Thomas P.</t>
  </si>
  <si>
    <t>Grain rotation in ion-complexed symmetric diblock copolymer thin films under an electric field</t>
  </si>
  <si>
    <t>MACROMOLECULES</t>
  </si>
  <si>
    <t>BLOCK-COPOLYMER; INDUCED ALIGNMENT; TRIBLOCK COPOLYMERS; LAMELLAR ALIGNMENT; PHASE-BEHAVIOR; MICROSTRUCTURE; DOMAIN; MICRODOMAINS; TRANSITION; MECHANISMS</t>
  </si>
  <si>
    <t>In symmetric polystyrene-block-poly( methyl methacrylate) (PS-b-PMMA) diblock copolymer thin films, lithium-PMMA complexes were formed with the addition of lithium chloride (LiCl), significantly increasing both chi and dielectric constant. These led to a transition in the kinetic pathway of the orientation of lamellar microdomains under an applied electric field from a disruption and re-formation of the microdomains to a grain rotation mediated by movement of defects. By controlling the number of lithium-PMMA complexes, the microdomain alignment is possibly regulated in PS-b-PMMA copolymer thin films.</t>
  </si>
  <si>
    <t>Univ Massachusetts, Dept Polymer Sci &amp; Engn, Amherst, MA 01003 USA</t>
  </si>
  <si>
    <t>University of Massachusetts System; University of Massachusetts Amherst</t>
  </si>
  <si>
    <t>Russell, TP (corresponding author), Univ Massachusetts, Dept Polymer Sci &amp; Engn, Amherst, MA 01003 USA.</t>
  </si>
  <si>
    <t>russell@mail.pse.umass.edu</t>
  </si>
  <si>
    <t>/A-5416-2010; Russell, Thomas/ADL-3689-2022; Belanger, Julie/A-5734-2009</t>
  </si>
  <si>
    <t>Belanger, Julie/0000-0002-7236-2778</t>
  </si>
  <si>
    <t>0024-9297</t>
  </si>
  <si>
    <t>Macromolecules</t>
  </si>
  <si>
    <t>NOV 28</t>
  </si>
  <si>
    <t>10.1021/ma0614287</t>
  </si>
  <si>
    <t>107OK</t>
  </si>
  <si>
    <t>WOS:000242180700040</t>
  </si>
  <si>
    <t>Xia, SZ; Liu, L; Feng, CH; Guo, AK</t>
  </si>
  <si>
    <t>Drug disruption of short-term memory in Drosophila melanogaster</t>
  </si>
  <si>
    <t>Drosophila melanogaster; operant conditioning; visual associative learning; short-term memory; depolarizing drug; potassium chloride; lithium chloride; monosodium glutamate; ouabain</t>
  </si>
  <si>
    <t>VISUAL FLIGHT ORIENTATION; TRANSMITTER RELEASE; GENETIC DISSECTION; OPERANT-BEHAVIOR; POTASSIUM; MUTATIONS; POTENTIATION; RETENTION; CURRENTS; INVITRO</t>
  </si>
  <si>
    <t>Recent work on operant visual learning and memory in Drosophila has suggested at least three distinct memory phases. Trying to disrupt memory pharmacologically, we fed flies with ouabain or the depolarizing drugs potassium chloride (KCl), lithium chloride (LiCl) and monosodium glutamate for some specific time before training. The depolarizing drugs abolished memory very soon after training. Ouabain exerted no effect on memory within the first 20 min but abolished it more than 30 min after training. These drugs had no diminishing effects on the visual discrimination and behavioral performance of the flies during training. This result suggests that memory disruption map not be induced by nonspecific effects of the drugs. In addition, reversal training of the KCl-fed flies indicates that KCl appears not to impair the retrieval mechanism of flies. These results suggest that the specific disruptive effects of the drugs on memory formation and the existence of a short-term memory phase, are susceptible to disruption of the depolarizing drugs but unaffected by ouabain. (C) 1997 Elsevier Science Inc.</t>
  </si>
  <si>
    <t>ACAD SINICA, INST BIOPHYS, LAB VISUAL INFORMAT PROC, BEIJING 100101, PEOPLES R CHINA</t>
  </si>
  <si>
    <t>Chinese Academy of Sciences; Institute of Biophysics, CAS</t>
  </si>
  <si>
    <t>10.1016/S0091-3057(97)00045-2</t>
  </si>
  <si>
    <t>XZ344</t>
  </si>
  <si>
    <t>WOS:A1997XZ34400018</t>
  </si>
  <si>
    <t>Yu, SQ; Ren, ZM; Sun, CX; Wang, ZY</t>
  </si>
  <si>
    <t>Yu Siqi; Ren Zhimin; Sun Chunxiao; Wang Zhiyu</t>
  </si>
  <si>
    <t>Engineering Solution Ionic Strength to Synthesize Fe3O4/GO Composites for High Performance Lithium Ion Battery Anodes</t>
  </si>
  <si>
    <t>RARE METAL MATERIALS AND ENGINEERING</t>
  </si>
  <si>
    <t>Chinese</t>
  </si>
  <si>
    <t>graphene oxide; magnetite; lithium ion batteries; composite</t>
  </si>
  <si>
    <t>GRAPHENE; NANOCOMPOSITES</t>
  </si>
  <si>
    <t>Fe3O4/GO composites were prepared, by engineering the ionic strength in solutions, which is friendly and simple. The applications of Fe3O4/GO composites as lithium ion battery anode materials were further investigated. The results show that Fe3O4/GO composites exhibit significant improvements over Fe3O4 nanoparticles. Galvanic charge discharge test using Fe3O4/GO composites shows a specific capacity of 930 mAh/g. after 100 cycles at 500 mA/g current rate. GO can improve electronic conductivity, and rich wrinkles in GO can provide extra space for volume expansion of Fe3O4 and prevent the electrode from disruption.</t>
  </si>
  <si>
    <t>[Yu Siqi; Ren Zhimin; Sun Chunxiao; Wang Zhiyu] Zhejiang Univ, State Key Lab Silicon Mat, Hangzhou 310027, Zhejiang, Peoples R China</t>
  </si>
  <si>
    <t>Zhejiang University</t>
  </si>
  <si>
    <t>Wang, ZY (corresponding author), Zhejiang Univ, Dept Mat Sci &amp; Engn, State Key Lab Silicon Mat, Hangzhou 310027, Zhejiang, Peoples R China.</t>
  </si>
  <si>
    <t>824215451@qq.com; wangzhiyu@zju.edu.cn</t>
  </si>
  <si>
    <t>NORTHWEST INST NONFERROUS METAL RESEARCH</t>
  </si>
  <si>
    <t>SHAANXI</t>
  </si>
  <si>
    <t>C/O RARE METAL MATERIAL ENGINEERING PRESS, PO BOX 51, XIAN, SHAANXI 710016, PEOPLES R CHINA</t>
  </si>
  <si>
    <t>1002-185X</t>
  </si>
  <si>
    <t>RARE METAL MAT ENG</t>
  </si>
  <si>
    <t>Rare Metal Mat. Eng.</t>
  </si>
  <si>
    <t>Materials Science, Multidisciplinary; Metallurgy &amp; Metallurgical Engineering</t>
  </si>
  <si>
    <t>Materials Science; Metallurgy &amp; Metallurgical Engineering</t>
  </si>
  <si>
    <t>EI0MO</t>
  </si>
  <si>
    <t>WOS:000392168800085</t>
  </si>
  <si>
    <t>Vertkov, AV; Lyublinski, IE; Tabares, F; Ascasibar, E</t>
  </si>
  <si>
    <t>Vertkov, A. V.; Lyublinski, I. E.; Tabares, F.; Ascasibar, E.</t>
  </si>
  <si>
    <t>Status and prospect of the development of liquid lithium limiters for stellarotor TJ-II</t>
  </si>
  <si>
    <t>Plasma facing components; Lithium; Limiter; Stellarator</t>
  </si>
  <si>
    <t>FTU TOKAMAK</t>
  </si>
  <si>
    <t>Stellarator concept is considered as a promising approach for power fusion reactor development because it basically free from disruptions and other extreme thermal load events. However, the potential problem of impurity accumulation in stellarator plasma should be taken into account. Very promising results in density control, plasma reproducibility and confinement characteristics have been obtained with application of lithiation technology. The next step in the improvement of TJ-II Heliac plasma performance is the development and creation of two poloidal liquid lithium limiters (LL). Experimental possibilities, design, structural materials and main parameters of LL based on capillary-pore structure (CPS) filled with liquid lithium are considered. Understanding in hydrogen isotope interaction with liquid lithium surface is an important aspect of lithium technology development for fusion reactor application. Therefore study of deuterium sorption/desorption process on a lithium surface of LL is stipulated. The development of lithium CPS based devices decreasing intensity of plasma-wall interaction on a central groove of TJ-II vacuum camera is proposed as the further step in plasma performance improvement owing to decrease in impurity flux from the wall. (C) 2011 Elsevier B.V. All rights reserved.</t>
  </si>
  <si>
    <t>[Vertkov, A. V.; Lyublinski, I. E.] FSUE Red Star, Moscow, Russia; [Tabares, F.; Ascasibar, E.] CIEMAT, E-28040 Madrid, Spain</t>
  </si>
  <si>
    <t>Centro de Investigaciones Energeticas, Medioambientales Tecnologicas</t>
  </si>
  <si>
    <t>Vertkov, AV (corresponding author), 1A Electrolitniy Proezd, Moscow 115230, Russia.</t>
  </si>
  <si>
    <t>Ascasibar, Enrique/B-7498-2014; Vertkov, Alexey/JTS-9864-2023; Tabares, Francisco/K-2404-2014</t>
  </si>
  <si>
    <t>Ascasibar, Enrique/0000-0001-8124-0994; Vertkov, Alexey/0000-0001-7164-2316; Tabares, Francisco/0000-0001-7045-8672; lyublinski, igor/0000-0001-8701-228X</t>
  </si>
  <si>
    <t>10.1016/j.fusengdes.2011.10.004</t>
  </si>
  <si>
    <t>WOS:000311183800009</t>
  </si>
  <si>
    <t>JOHNSON, FN</t>
  </si>
  <si>
    <t>LITHIUM EFFECTS ON SOCIAL AGGREGATION IN THE GOLDFISH (CARASSIUS-AURATUS)</t>
  </si>
  <si>
    <t>MEDICAL BIOLOGY</t>
  </si>
  <si>
    <t>The effects of LiCl on social aggregation were observed using 240 goldfish in pairs. Aggregation was reduced between 2 fish when both had received Li treatment. When 24 fish were investigated in groups of 3, maximal disruption of aggregation occurred when all 3 fish were Li treated, but partial social disruption occurred following Li treatment of 2 out of 3 fish. The results are interpreted in terms of a possible Li-induced impairment of central processing of the sensory stimuli responsible for eliciting social following responses.</t>
  </si>
  <si>
    <t>UNIV LANCASTER, DEPT PSYCHOL, BAILRIGG LA1 44F, LANCASTER, ENGLAND</t>
  </si>
  <si>
    <t>FINNISH MEDICAL SOC DUODECIM</t>
  </si>
  <si>
    <t>HELSINKI</t>
  </si>
  <si>
    <t>KALEVANKATU 11 A, 00100 HELSINKI, FINLAND</t>
  </si>
  <si>
    <t>0302-2137</t>
  </si>
  <si>
    <t>MED BIOL</t>
  </si>
  <si>
    <t>Medicine, Research &amp; Experimental</t>
  </si>
  <si>
    <t>Research &amp; Experimental Medicine</t>
  </si>
  <si>
    <t>HA996</t>
  </si>
  <si>
    <t>WOS:A1979HA99600003</t>
  </si>
  <si>
    <t>Prior, C; Potier, S; Souciet, JL; Sychrova, H</t>
  </si>
  <si>
    <t>Characterization of the NHA1 gene encoding a Na+/H+-antiporter of the yeast Saccharomyces cerevisiae</t>
  </si>
  <si>
    <t>FEBS LETTERS</t>
  </si>
  <si>
    <t>sodium/proton antiporter; sodium tolerance; lithium tolerance; Saccharomyces cerevisiae</t>
  </si>
  <si>
    <t>SODIUM; PERMEASE; ATPASE</t>
  </si>
  <si>
    <t>The NHA1 gene (2958 nt) encoding a putative Na+/H+ antiporter (986 aa) in Saccharomyces cerevisiae was cloned by selection based on increased NaCl tolerance. The putative protein is highly similar to sodium/proton antiporters from Schizosaccharomyces pombe (gene sod2), and Zygosaccharomyces rouxii (gene Z-SOD2). Overexpression of the NHA1 gene results in higher and partially pH-dependent tolerance to sodium and lithium; its disruption leads to an increased sensitivity towards these ions.</t>
  </si>
  <si>
    <t>UNIV STRASBOURG 1,URA N 1481 CNRS,LAB MICROBIOL &amp; GENET,F-67083 STRASBOURG,FRANCE; ACAD SCI CZECH REPUBL,INST PHYSIOL,DEPT MEMBRANE TRANSPORT,CR-14220 PRAGUE 4,CZECH REPUBLIC</t>
  </si>
  <si>
    <t>Universites de Strasbourg Etablissements Associes; Universite de Strasbourg; Czech Academy of Sciences; Institute of Physiology of the Czech Academy of Sciences</t>
  </si>
  <si>
    <t>Sychrova, Hana/B-1350-2012</t>
  </si>
  <si>
    <t>Sychrova, Hana/0000-0001-5967-5019</t>
  </si>
  <si>
    <t>0014-5793</t>
  </si>
  <si>
    <t>FEBS LETT</t>
  </si>
  <si>
    <t>FEBS Lett.</t>
  </si>
  <si>
    <t>MAY 27</t>
  </si>
  <si>
    <t>10.1016/0014-5793(96)00470-X</t>
  </si>
  <si>
    <t>Biochemistry &amp; Molecular Biology; Biophysics; Cell Biology</t>
  </si>
  <si>
    <t>UP838</t>
  </si>
  <si>
    <t>WOS:A1996UP83800019</t>
  </si>
  <si>
    <t>Kugel, HW; Allain, JP; Bell, MG; Bell, RE; Diallo, A; Ellis, R; Gerhardt, SP; Heim, B; Jaworski, MA; Kaita, R; Kallman, J; Kaye, S; LeBlanc, BP; Maingi, R; McLean, A; Menard, J; Mueller, D; Nygren, R; Ono, M; Paul, SF; Raman, R; Roquemore, AL; Sabbagh, SA; Schneider, H; Skinner, CH; Soukhanovskii, VA; Taylor, CN; Timberlake, JR; Viola, M; Zakharov, L</t>
  </si>
  <si>
    <t>Kugel, H. W.; Allain, J. P.; Bell, M. G.; Bell, R. E.; Diallo, A.; Ellis, R.; Gerhardt, S. P.; Heim, B.; Jaworski, M. A.; Kaita, R.; Kallman, J.; Kaye, S.; LeBlanc, B. P.; Maingi, R.; McLean, A.; Menard, J.; Mueller, D.; Nygren, R.; Ono, M.; Paul, S. F.; Raman, R.; Roquemore, A. L.; Sabbagh, S. A.; Schneider, H.; Skinner, C. H.; Soukhanovskii, V. A.; Taylor, C. N.; Timberlake, J. R.; Viola, M.; Zakharov, L.</t>
  </si>
  <si>
    <t>NSTX Res Team</t>
  </si>
  <si>
    <t>NSTX plasma operation with a Liquid Lithium Divertor</t>
  </si>
  <si>
    <t>Lithium; Lithium divertors; Lithium plasma facing components; Lithium impurities; Divertors</t>
  </si>
  <si>
    <t>NSTX 2010 experiments were conducted using a molybdenum Liquid Lithium Divertor (LLD) surface installed on the outer part of the lower divertor. This tested the effectiveness of maintaining the deuterium retention properties of a static liquid lithium surface when refreshed by lithium evaporation as an approximation to a flowing liquid lithium surface. The LLD molybdenum front face has a 45% porosity to provide sufficient wetting to spread 37 g of lithium, and to retain it in the presence of magnetic forces. Lithium Evaporators were used to deposit lithium on the LLD surface. At the beginning of discharges, the LLD lithium surface ranged from solid to liquefied depending on the amount of applied and plasma heating. Noteworthy improvements in plasma performance were obtained similar to those obtained previously with lithiated graphite, e.g., ELM-free, quiescent edge, H-modes. During these experiments with the plasma outer strike point on the LLD, the rate of deuterium retention in the LLD, as indicated by the fueling needed to achieve and maintain stable plasma conditions, was the about the same as that for solid lithium coatings on the graphite prior to the installation of the LLD, i.e., about two times that of no-lithium conditions. The role of lithium impurities in this result is discussed. Following the 2010 experimental campaign, inspection of the LLD found mechanical damage to the plate supports, and other hardware resulting from forces following plasma current disruptions. The LLD was removed, upgraded, and reinstalled. A row of molybdenum tiles was installed inboard of the LLD for 2011 experiments with both inner and outer strike points on lithiated molybdenum to allow investigation of lithium plasma facing issues encountered in the first testing of the LLD. (C) 2011 Elsevier B.V. All rights reserved.</t>
  </si>
  <si>
    <t>[Kugel, H. W.; Bell, M. G.; Bell, R. E.; Diallo, A.; Ellis, R.; Gerhardt, S. P.; Jaworski, M. A.; Kaita, R.; Kallman, J.; Kaye, S.; LeBlanc, B. P.; Menard, J.; Mueller, D.; Ono, M.; Paul, S. F.; Roquemore, A. L.; Schneider, H.; Skinner, C. H.; Timberlake, J. R.; Viola, M.; Zakharov, L.] Princeton Plasma Phys Lab, Princeton, NJ 08543 USA; [Allain, J. P.; Heim, B.; Taylor, C. N.] Purdue Univ, W Lafayette, IN 47907 USA; [Maingi, R.; McLean, A.] Oak Ridge Natl Lab, Oak Ridge, TN 37831 USA; [Nygren, R.] Sandia Natl Labs, Albuquerque, NM 87185 USA; [Raman, R.] Univ Washington, Seattle, WA 98195 USA; [Sabbagh, S. A.] Columbia Univ, New York, NY 10027 USA; [Soukhanovskii, V. A.] Lawrence Livermore Natl Lab, Livermore, CA 94551 USA</t>
  </si>
  <si>
    <t>Princeton University; United States Department of Energy (DOE); Princeton Plasma Physics Laboratory; Purdue University System; Purdue University; United States Department of Energy (DOE); Oak Ridge National Laboratory; United States Department of Energy (DOE); Sandia National Laboratories; University of Washington; University of Washington Seattle; Columbia University; United States Department of Energy (DOE); Lawrence Livermore National Laboratory</t>
  </si>
  <si>
    <t>Kugel, HW (corresponding author), Princeton Plasma Phys Lab, POB 451, Princeton, NJ 08543 USA.</t>
  </si>
  <si>
    <t>hkugel@pppl.gov</t>
  </si>
  <si>
    <t>Maingi, Rajesh/ABA-3235-2021; Diallo, Ahmed/M-7792-2013; Kaye, Stanley/AAU-7075-2021; McLean, Adam/AAH-1640-2019; Taylor, Chase/B-5325-2017; Menard, Jonathan/AAO-3331-2021; Skinner, Charles/C-2314-2013; Raman, Roger/AAB-8274-2019; Zakharov, Leonid/H-2007-2016; Sabbagh, Steven/C-7142-2011</t>
  </si>
  <si>
    <t>Maingi, Rajesh/0000-0003-1238-8121; Bell, Ronald E/0000-0001-9544-498X; Diallo, Ahmed/0000-0002-0706-060X; Kaye, Stanley/0000-0002-2514-1163; Gerhardt, Stefan/0000-0002-2546-2194; Viola, Michael/0009-0002-7598-107X; Taylor, Chase/0000-0002-3063-3752; LeBlanc, Benoit/0000-0003-1455-0129; Menard, Jonathan/0000-0003-1292-3286; Ono, Masayuki/0000-0001-9849-9417; Allain, Jean Paul/0000-0003-1348-262X; Soukhanovskii, Vlad/0000-0001-5519-0145;</t>
  </si>
  <si>
    <t>USDOE [DE-AC02-09CH11466, DE-AC05-00OR22725, DE-AC52-07NA27344]</t>
  </si>
  <si>
    <t>USDOE(United States Department of Energy (DOE))</t>
  </si>
  <si>
    <t>This work supported by USDOE contracts DE-AC02-09CH11466 (PPPL), DE-AC05-00OR22725 (ORNL), and DE-AC52-07NA27344 (LLNL).</t>
  </si>
  <si>
    <t>10.1016/j.fusengdes.2011.07.010</t>
  </si>
  <si>
    <t>WOS:000311183800004</t>
  </si>
  <si>
    <t>Mishra, HK; Wei, HT; Leroux, M; Ko, DN; Rohr, K; Nievergelt, CM; Maihofer, AX; Shilling, PD; Alda, M; Berrettini, WH; Coryell, WH; Frye, M; Gershon, E; Mcinnis, MG; Nurnberger, J; Oedegaard, KJ; Zandi, PP; Kelsoe, JR; Mccarthy, MJ</t>
  </si>
  <si>
    <t>Mishra, Himanshu K.; Wei, Heather; Leroux, Melissa; Ko, Daniel; Rohr, Kayla; Nievergelt, Caroline M.; Maihofer, Adam X.; Shilling, Paul D.; Alda, Martin; Berrettini, Wade H.; Coryell, William H.; Frye, Mark; Gershon, Elliot; Mcinnis, Melvin G.; Nurnberger, John; Oedegaard, Ketil J.; Zandi, Peter P.; Kelsoe, John R.; Mccarthy, Michael J.</t>
  </si>
  <si>
    <t>Circadian clock genes and cell survival in bipolar disorder: Insights into lithium responsiveness and molecular mechanisms in patient-derived neural progenitor cells and mouse neurons</t>
  </si>
  <si>
    <t>FEBS JOURNAL</t>
  </si>
  <si>
    <t>apoptosis; bipolar disorder; circadian rhythm; lithium; neuronal progenitor cell</t>
  </si>
  <si>
    <t>REV-ERB-ALPHA; HIPPOCAMPAL NEUROGENESIS; SCHIZOPHRENIA; METABOLISM; EXPRESSION; APOPTOSIS; VARIANTS; BEHAVIOR</t>
  </si>
  <si>
    <t>Bipolar disorder (BD) is characterized by disrupted circadian rhythms and neuronal loss. Lithium amplifies circadian rhythms and is neuroprotective, indicating mechanistic overlap across cellular systems. We examined the role of neuroprotection in determining lithium response and how circadian clock genes regulate apoptosis. In stem-cell-derived neuronal progenitor cells (NPCs) from BD patients, and in immortalized mouse hippocampal neurons, lithium was neuroprotective against staurosporine (STS)-induced apoptosis. However, neuroprotection did not distinguish lithium-responders (Li-Rs) from nonresponders (Li-NRs). Disruption of selected clock genes-period circadian regulator 1 (PER1), basic helix-loop-helix ARNT like 1 (ARNTL, also known as BMAL1), and nuclear receptor subfamily 1 group D member 1 (NR1D1; also known as REV-ERB alpha)-with small interfering RNA (siRNA) had distinct effects on apoptosis in mouse neurons and human NPCs. In BD patient NPCs, reduced expression of PER1 and BMAL1 increased apoptosis more in Li-NR NPCs vs. Li-R NPCs. Reduced expression of REV-ERB alpha caused more extensive apoptosis in BD vs. control NPCs, but did not distinguish Li-Rs vs. Li-NRs. The REV-ERB agonist GSK4112 was neuroprotective in mouse neurons and control NPCs, but did not reduce apoptosis in BD NPCs. Simultaneous treatment of NPCs with STS and GSK4112 revealed BD- and Li-R-associated differences in apoptosis-related gene expression. In summary, the pharmacological effects of lithium in promoting neuroprotection are not sufficient to distinguish between Li-Rs and Li-NRs. However, genetic and pharmacological manipulations of the circadian clock reveal distinct roles in apoptosis in BD patient NPCs, some of which do distinguish Li-Rs and Li-NRs. We conclude that genetic disruption of cellular circadian clocks may predispose neurons to apoptosis preferentially in BD and/or Li-NR. These findings imply that differences in BD between Li-Rs/Li-NRs primarily arise from defining biological characteristics of patient subgroups, not from distinct pharmacodynamic factors following lithium treatment.</t>
  </si>
  <si>
    <t>[Mishra, Himanshu K.; Wei, Heather; Nievergelt, Caroline M.; Maihofer, Adam X.; Mccarthy, Michael J.] VA San Diego Healthcare Syst, San Diego, CA USA; [Mishra, Himanshu K.; Wei, Heather; Leroux, Melissa; Ko, Daniel; Rohr, Kayla; Nievergelt, Caroline M.; Maihofer, Adam X.; Shilling, Paul D.; Kelsoe, John R.; Mccarthy, Michael J.] Univ Calif San Diego, Ctr Circadian Biol, La Jolla, CA 92037 USA; [Alda, Martin] Dalhousie Univ Halifax, Dept Psychiat, Halifax, NS, Canada; [Berrettini, Wade H.] Univ Penn, Dept Psychiat, Philadelphia, PA USA; [Coryell, William H.] Univ Iowa, Dept Psychiat, Iowa City, IA USA; [Frye, Mark] Mayo Clin, Dept Psychiat, Rochester, MN USA; [Gershon, Elliot] Univ Chicago, Dept Psychiat, Chicago, IL USA; [Mcinnis, Melvin G.] Univ Michigan, Dept Psychiat, Ann Arbor, MI USA; [Nurnberger, John] Indiana Univ, Dept Psychiat, Indianapolis, IN USA; [Oedegaard, Ketil J.] Univ Bergen, Sect Psychiat, Bergen, Norway; [Oedegaard, Ketil J.] KG Jebsen Ctr Neuropsychiat, Bergen, Norway; [Oedegaard, Ketil J.] Haukeland Hosp, Div Psychiat, Bergen, Norway; [Zandi, Peter P.] Johns Hopkins Univ, Dept Psychiat, Baltimore, MD USA</t>
  </si>
  <si>
    <t>US Department of Veterans Affairs; Veterans Health Administration (VHA); VA San Diego Healthcare System; University of California System; University of California San Diego; Dalhousie University; University of Pennsylvania; University of Iowa; Mayo Clinic; University of Chicago; University of Michigan System; University of Michigan; Indiana University System; Indiana University Indianapolis; University of Bergen; University of Bergen; Haukeland University Hospital; Johns Hopkins University</t>
  </si>
  <si>
    <t>Mccarthy, MJ (corresponding author), VA San Diego Med Ctr, 3350 Jolla Village Dr MC 116A, San Diego, CA 92161 USA.</t>
  </si>
  <si>
    <t>McInnis, Melvin/F-6963-2012; , Elliot Gershon/LMM-8212-2024; McCarthy, Michael/K-9302-2017</t>
  </si>
  <si>
    <t>McInnis, Melvin/0000-0002-0375-6247;</t>
  </si>
  <si>
    <t>Veterans Affairs San Diego Healthcare System</t>
  </si>
  <si>
    <t>Veterans Affairs San Diego Healthcare System(US Department of Veterans Affairs)</t>
  </si>
  <si>
    <t>Members of the PGBD research who contributed to the assessment of research paricipants Ney Alliey-Rodriguez, Amit Anand, Stautland Andrea, Ole Andreassen, Yokesh Balaraman, Holli Bertram, Abesh Bhattacharjee, Kristen Brennand, Katherine Burdick, Cynthia Calkin, Ana Claasen, Carla Conroy, David Craig, Nicole D'Arcangelo, Anna DeModena, Scott Feeder, Carrie Fisher, Nicole Frazier, Fred Gage, Keming Gao, Julie Garnham, Kara Glazer, Fernando Goes, Toyomi Goto, Gloria Harrington, Petter Jakobsen, Masoud Kamali, Elizabeth Karberg, Marisa Kelly, Susan Leckband, Falk Lohoff, Jerome Mertens, Francis Mondimore, Gunnar Morken, Sarah Obral, Abigail Ortiz, Son Pham, Megan Ritchey, Kelly Ryan, Martha Schinagle, Helle Schoeyen, Candice Schwebel, Martha Shaw, Tatyana Shekhtman, Clare Slaney, Emma Stapp, Szabolcs Szelinger, Bruce Tarwater, Jun Yao. Thanks to the PGBD patients who participated in the study.</t>
  </si>
  <si>
    <t>1742-464X</t>
  </si>
  <si>
    <t>1742-4658</t>
  </si>
  <si>
    <t>FEBS J</t>
  </si>
  <si>
    <t>FEBS J.</t>
  </si>
  <si>
    <t>10.1111/febs.70034</t>
  </si>
  <si>
    <t>3KL8M</t>
  </si>
  <si>
    <t>WOS:001429246900001</t>
  </si>
  <si>
    <t>Phiel, CJ; Klein, PS</t>
  </si>
  <si>
    <t>Molecular targets of lithium action</t>
  </si>
  <si>
    <t>ANNUAL REVIEW OF PHARMACOLOGY AND TOXICOLOGY</t>
  </si>
  <si>
    <t>inositol monophosphatase; phosphomonoesterase; glycogen synthase kinase-3 (GSK-3 beta); bipolar disorder; Wnt signaling</t>
  </si>
  <si>
    <t>GLYCOGEN-SYNTHASE KINASE-3; WNT SIGNALING PATHWAY; INOSITOL POLYPHOSPHATE 1-PHOSPHATASE; PAIRED HELICAL FILAMENTS; DISEASE-LIKE PHOSPHORYLATION; FAMILIAL ALZHEIMERS-DISEASE; REDUCES TAU PHOSPHORYLATION; BETA-CATENIN STABILITY; ANIMAL-VEGETAL AXIS; GENE-EXPRESSION</t>
  </si>
  <si>
    <t>Lithium is highly effective in the treatment of bipolar disorder and also has multiple effects on embryonic development, glycogen synthesis, hematopoiesis, and other processes. However, the mechanism of lithium action is still unclear. A number of enzymes have been proposed as potential targets of lithium action, including inositol monophosphatase, a family of structurally related phosphomonoesterases, and the protein kinase glycogen synthase kinase-3. These potential targets are widely ex pressed, require metal ions for catalysis, and are generally inhibited by lithium in an uncompetitive manner, most likely by displacing a divalent cation. Thus, the challenge is to determine which target, if any, is responsible for a given response to lithium in cells. Comparison of lithium effects with genetic disruption of putative target molecules has helped to validate these targets, and the use of alternative inhibitors of a given target can also lend strong support for or against a proposed mechanism of lithium action. In this review, lithium sensitive enzymes are discussed, and a number of criteria are proposed to evaluate which of these enzymes are involved in the response to lithium in a given setting.</t>
  </si>
  <si>
    <t>Univ Penn, Sch Med, Dept Med, Philadelphia, PA 19104 USA; Univ Penn, Sch Med, Howard Hughes Med Inst, Philadelphia, PA 19104 USA</t>
  </si>
  <si>
    <t>University of Pennsylvania; Howard Hughes Medical Institute; University of Pennsylvania</t>
  </si>
  <si>
    <t>Phiel, CJ (corresponding author), Univ Penn, Sch Med, Dept Med, Philadelphia, PA 19104 USA.</t>
  </si>
  <si>
    <t>phiel@hhmi.upenn.edu; pklein@hhmi.upenn.edu</t>
  </si>
  <si>
    <t>Phiel, Christopher/0000-0002-9265-2676</t>
  </si>
  <si>
    <t>ANNUAL REVIEWS</t>
  </si>
  <si>
    <t>PALO ALTO</t>
  </si>
  <si>
    <t>4139 EL CAMINO WAY, PO BOX 10139, PALO ALTO, CA 94303-0139 USA</t>
  </si>
  <si>
    <t>0362-1642</t>
  </si>
  <si>
    <t>1545-4304</t>
  </si>
  <si>
    <t>ANNU REV PHARMACOL</t>
  </si>
  <si>
    <t>Annu. Rev. Pharmacol. Toxicol.</t>
  </si>
  <si>
    <t>10.1146/annurev.pharmtox.41.1.789</t>
  </si>
  <si>
    <t>428AR</t>
  </si>
  <si>
    <t>WOS:000168439400030</t>
  </si>
  <si>
    <t>KELLERMAN, PS; CLARK, RAF; HOILIEN, CA; LINAS, SL; MOLITORIS, BA</t>
  </si>
  <si>
    <t>ROLE OF MICROFILAMENTS IN MAINTENANCE OF PROXIMAL TUBULE STRUCTURAL AND FUNCTIONAL INTEGRITY</t>
  </si>
  <si>
    <t>AMERICAN JOURNAL OF PHYSIOLOGY</t>
  </si>
  <si>
    <t>To determine the selective effect of microfilament disruption on both cellular structure and function, microfilament-specific doses of cytochalasin D (10 .mu.M) were used in an isolated perfused kidney system. Structurally, cytochalasin D resulted in extensive disruption of the apical surface with blebbing, vacuolization, and patchy loss and fusion of microvilli. Functionally, cytochalasin D resulted in an initial decrease in glomerular filtration rate (300.8 .+-. 29.9 vs. 541.6 .+-. 51 .mu.l .cntdot. min-1 .cntdot. g-1, P &lt; 0.05) with subsequent stabilization throughout the duration of the perfusion. In contrast, the tubular reabsorption of sodium decreased significantly in a linear fashion from 97.1 .+-. 0.7 to 64.3 .+-. 7.0% over the duration of the perfusion. Similarly, the tubular reabsorption of lithium decreased linearly from 74.8 .+-. 2.6%, before the addition of cytochalasin, to 33.6 .+-. 6.8% by the end of the perfusion. Correlation of the decrements in percent tubular reabsorption of sodium and lithium for individual kidneys was 0.87 (P &lt; 0.01), suggesting the effect of microfilament disruption on tubular reabsorption of sodium was localized primarily to the proximal tubule. Because ischemic injury is characterized by time-dependent structural alterations in the apical membrane of proximal tubule cells, we set out to determine whether microfilament disruption occurs during ischemic acute renal failure. Utilizing indirect immunofluorescence with an anti-actin antibody, control kidneys demonstrated intact circumferential apical immunofluorescence representing brush-border and terminal web actin staining. Fifteen minutes of ischemia resulted in multiple large gaps in the terminal web, and 50 min of ischemia caused diffuse redistribution of actin immunofluorescence throughout the cytoplasm. These data indicate that disruption of microfilaments results in proximal tubule apical structural and functional alterations, and microfilament disruption may play an important role in the pathophysiology of ischemic injury.</t>
  </si>
  <si>
    <t>DENVER GEN HOSP, VET ADM HOSP, 1055 CLERMONT ST, DENVER, CO 80220 USA; UNIV COLORADO, HLTH SCI CTR, DEPT MED, DIV NEPHROL, DENVER, CO 80262 USA; UNIV COLORADO, HLTH SCI CTR, NATL JEWISH HOSP IMMUNOL &amp; RESP DIS, DEPT DERMATOL, DENVER, CO 80262 USA</t>
  </si>
  <si>
    <t>US Department of Veterans Affairs; Veterans Health Administration (VHA); Denver Health Medical Center; University of Colorado System; University of Colorado Anschutz; University of Colorado Denver; University of Colorado System; University of Colorado Anschutz; University of Colorado Denver</t>
  </si>
  <si>
    <t>NIDDK NIH HHS [DK-41126] Funding Source: Medline</t>
  </si>
  <si>
    <t>NIDDK NIH HHS(United States Department of Health &amp; Human ServicesNational Institutes of Health (NIH) - USANIH National Institute of Diabetes &amp; Digestive &amp; Kidney Diseases (NIDDK))</t>
  </si>
  <si>
    <t>0002-9513</t>
  </si>
  <si>
    <t>AM J PHYSIOL</t>
  </si>
  <si>
    <t>Am. J. Physiol.</t>
  </si>
  <si>
    <t>F279</t>
  </si>
  <si>
    <t>F285</t>
  </si>
  <si>
    <t>10.1152/ajprenal.1990.259.2.F279</t>
  </si>
  <si>
    <t>DU954</t>
  </si>
  <si>
    <t>WOS:A1990DU95400088</t>
  </si>
  <si>
    <t>Mezzomo, L; Lorenzi, R; Mauri, M; Simonutti, R; D'Arienzo, M; Wi, TU; Ko, S; Lee, HW; Poggini, L; Caneschi, A; Mustarelli, P; Ruffo, R</t>
  </si>
  <si>
    <t>Mezzomo, Lorenzo; Lorenzi, Roberto; Mauri, Michele; Simonutti, Roberto; D'Arienzo, Massimiliano; Wi, Tae-Ung; Ko, Sangho; Lee, Hyun-Wook; Poggini, Lorenzo; Caneschi, Andrea; Mustarelli, Piercarlo; Ruffo, Riccardo</t>
  </si>
  <si>
    <t>Unveiling the Role of PEO-Capped TiO2 Nanofiller in Stabilizing the Anode Interface in Lithium Metal Batteries</t>
  </si>
  <si>
    <t>NANO LETTERS</t>
  </si>
  <si>
    <t>Solid-state batteries; lithium metal batteries; lithium-ion batteries; ceramic filler; grafted TiO2</t>
  </si>
  <si>
    <t>TITANIUM-DIOXIDE; RAMAN-SPECTRUM; POLYMER ELECTROLYTES; ANATASE; INSERTION; NANOCRYSTALS; SIZE; PERFORMANCE; BROOKITE; RUTILE</t>
  </si>
  <si>
    <t>Lithium metal batteries (LMBs) will be a breakthrough in automotive applications, but they require the development of next generation solid-state electrolytes (SSEs) to stabilize the anode interface. Polymer-in-ceramic PEO/TiO2 nanocomposite SSEs show outstanding properties, allowing unprecedented LMBs durability and self-healing capabilities. However, the mechanism underlying the inhibition/delay of dendrite growth is not well understood. In fact, the inorganic phase could act as both a chemical and a mechanical barrier to dendrite propagation. Combining advanced in situ and ex situ experimental techniques, we demonstrate that oligo(ethylene oxide)-capped TiO2, although chemically inert toward lithium metal, imparts SSE with mechanical and dynamical properties particularly favorable for application. The self healing characteristics are due to the interplay between mechanical robustness and high local polymer mobility which promotes the disruption of the electric continuity of the lithium dendrites (razor effect).</t>
  </si>
  <si>
    <t>[Mezzomo, Lorenzo; Lorenzi, Roberto; Mauri, Michele; Simonutti, Roberto; D'Arienzo, Massimiliano; Mustarelli, Piercarlo; Ruffo, Riccardo] Univ Milano Bicocca, Dipartimento Sci Materiali, I-20125 Milan, Italy; [Wi, Tae-Ung; Ko, Sangho; Lee, Hyun-Wook] Ulsan Natl Inst Sci &amp; Technol UNIST, Sch Energy &amp; Chem Engn, Ulsan 44919, South Korea; [Poggini, Lorenzo] Ist Chim Composti OrganoMetall ICCOM, Consiglio Nazl Ric CNR, I-50019 Sesto Fiorentino, Italy; [Caneschi, Andrea] Univ Florence, Dept Ind Engn DIEF, I-50139 Florence, Italy; [Caneschi, Andrea] Univ Florence, INSTM Res Unit, I-50139 Florence, Italy; [Mustarelli, Piercarlo; Ruffo, Riccardo] Natl Reference Ctr Electrochem Energy Storage GISE, Consorzio Interuniv Nazl Sci &amp; Tecnol Materiali IN, I-50121 Florence, Italy</t>
  </si>
  <si>
    <t>University of Milano-Bicocca; Ulsan National Institute of Science &amp; Technology (UNIST); Consiglio Nazionale delle Ricerche (CNR); Isituto di Chimica dei Composti Organometallici (ICCOM-CNR); University of Florence; University of Florence</t>
  </si>
  <si>
    <t>Mustarelli, P; Ruffo, R (corresponding author), Univ Milano Bicocca, Dipartimento Sci Materiali, I-20125 Milan, Italy.;Mustarelli, P; Ruffo, R (corresponding author), Natl Reference Ctr Electrochem Energy Storage GISE, Consorzio Interuniv Nazl Sci &amp; Tecnol Materiali IN, I-50121 Florence, Italy.</t>
  </si>
  <si>
    <t>piercarlo.mustarelli@unimib.it; riccardo.ruffo@unimib.it</t>
  </si>
  <si>
    <t>; Lee, Hyun-Wook/Q-9222-2016; Wi, Tae-Ung/HJH-8966-2023; Poggini, Lorenzo/F-7703-2018; Lorenzi, Roberto/D-1916-2014; Mauri, Michele/A-3561-2013; Mezzomo, Lorenzo/HOF-1636-2023; D'Arienzo, Massimiliano/A-4210-2010; Ruffo, Riccardo/C-1508-2009</t>
  </si>
  <si>
    <t>SIMONUTTI, ROBERTO/0000-0001-8093-517X; Caneschi, Andrea/0000-0001-5535-3469; Lee, Hyun-Wook/0000-0001-9074-1619; Wi, Tae-Ung/0000-0002-8295-825X; Poggini, Lorenzo/0000-0002-1931-5841; Mustarelli, Piercarlo/0000-0001-9954-5200; Lorenzi, Roberto/0000-0002-6199-0971; Mauri, Michele/0000-0002-7777-9820; Mezzomo, Lorenzo/0000-0002-1863-8753; D'Arienzo, Massimiliano/0009-0008-8310-5276;</t>
  </si>
  <si>
    <t>Italian Ministry of University and Research (MIUR); Italian Ministry of Foreign Affairs and International Cooperation; National Research Foundation of Korea - Ministry of Science and ICT [2019R1C1C1009324]</t>
  </si>
  <si>
    <t>Italian Ministry of University and Research (MIUR)(Ministry of Education, Universities and Research (MIUR)); Italian Ministry of Foreign Affairs and International Cooperation(Ministry of Foreign Affairs and International Cooperation (Italy)); National Research Foundation of Korea - Ministry of Science and ICT(National Research Foundation of KoreaMinistry of Science, ICT &amp; Future Planning, Republic of Korea)</t>
  </si>
  <si>
    <t>Funding by the Italian Ministry of University and Research (MIUR) through g r a n t Dipartimenti d i Eccellenza-2017 Materials for Energy and Funding by the Italian Ministry of Foreign Affairs and International Cooperation, in the frame of bilateral Italy-Israel ENVIRONMENTALIST project, is grate-fully acknowledged by M.M., P.M., and R.R. H.-W.L. acknowledges support from Individual Basic Science &amp; Engineering Research Program (2019R1C1C1009324)through the National Research Foundation of Korea funded by the Ministry of Science and ICT. This study contains the results obtained by using the equipment of UNIST Central Research Facilities (UCRF).</t>
  </si>
  <si>
    <t>1530-6984</t>
  </si>
  <si>
    <t>1530-6992</t>
  </si>
  <si>
    <t>NANO LETT</t>
  </si>
  <si>
    <t>Nano Lett.</t>
  </si>
  <si>
    <t>NOV 9</t>
  </si>
  <si>
    <t>10.1021/acs.nanolett.2c02973</t>
  </si>
  <si>
    <t>Chemistry, Multidisciplinary; Chemistry, Physical; Nanoscience &amp; Nanotechnology; Materials Science, Multidisciplinary; Physics, Applied; Physics, Condensed Matter</t>
  </si>
  <si>
    <t>Chemistry; Science &amp; Technology - Other Topics; Materials Science; Physics</t>
  </si>
  <si>
    <t>6EH9H</t>
  </si>
  <si>
    <t>WOS:000880804100001</t>
  </si>
  <si>
    <t>Zarnescu, O; Zamfirescu, G</t>
  </si>
  <si>
    <t>Zarnescu, O.; Zamfirescu, G.</t>
  </si>
  <si>
    <t>Effects of lithium carbonate on rat seminiferous tubules: an ultrastructural study</t>
  </si>
  <si>
    <t>INTERNATIONAL JOURNAL OF ANDROLOGY</t>
  </si>
  <si>
    <t>lithium carbonate; rat; seminiferous tubule; spermatogenesis; toxicity; ultrastructure</t>
  </si>
  <si>
    <t>PERITUBULAR TISSUE; SERTOLI-CELL; TESTIS; CHLORIDE; SPERMATOGENESIS; ACROPLAXOME; INHIBITION; DISRUPTION; SPERMATIDS; TOXICITY</t>
  </si>
  <si>
    <t>Lithium salts are commonly used for treatment of bipolar disorder but prolonged treatment with therapeutic doses induces substantial toxic effects. In the present study we examined the effects of lithium carbonate on the ultrastructure of rat seminiferous tubules. Rats were exposed to lithium carbonate at doses of 35 mg/kg/day for 21 days. After lithium treatment, the tunica propria widened and folded together with convolutions of the basement membrane, myoid cells and lymphatic endothelium. In the seminiferous epithelium loss of germ cell attachment and appearance of expanded intercellular spaces between spermatogenic cells were observed. Early stages of spermatogenic cells showed nuclear protrusions or swellings because of an extensive enlargement of the outer nuclear membrane. Round spermatids exhibited abnormally shaped acrosomes and dilation of the subacrosomal space. Many abnormal, degenerated late spermatids with random orientation were seen towards the basal and adluminal compartments of the seminiferous epithelium. In addition, spermatids exhibited alteration in F-actin bundle ectoplasmic specialization and contained many mitochondria-associated granular bodies.</t>
  </si>
  <si>
    <t>Univ Bucharest, Fac Biol, Dept Anim Biol, Bucharest 76201, Romania; Natl Inst Rehabil Phys Med &amp; Balneol, Bucharest, Romania</t>
  </si>
  <si>
    <t>University of Bucharest</t>
  </si>
  <si>
    <t>Zarnescu, O (corresponding author), Univ Bucharest, Fac Biol, Dept Anim Biol, Splaiul Independentei 91-95, Bucharest 76201, Romania.</t>
  </si>
  <si>
    <t>otilia@bio.bio.unibuc.ro</t>
  </si>
  <si>
    <t>Zarnescu, Otilia/AAL-3017-2021</t>
  </si>
  <si>
    <t>Zarnescu, Otilia/0000-0001-6894-3281</t>
  </si>
  <si>
    <t>0105-6263</t>
  </si>
  <si>
    <t>1365-2605</t>
  </si>
  <si>
    <t>INT J ANDROL</t>
  </si>
  <si>
    <t>Int. J. Androl.</t>
  </si>
  <si>
    <t>10.1111/j.1365-2605.2006.00697.x</t>
  </si>
  <si>
    <t>Andrology</t>
  </si>
  <si>
    <t>Endocrinology &amp; Metabolism</t>
  </si>
  <si>
    <t>107TW</t>
  </si>
  <si>
    <t>WOS:000242194900002</t>
  </si>
  <si>
    <t>Low carbon transition; Ore supply risk; Determinant; Production disruption</t>
  </si>
  <si>
    <t>RESILIENCE; CHAINS</t>
  </si>
  <si>
    <t>Shanghai Jiao Tong University; Shanghai Jiao Tong University</t>
  </si>
  <si>
    <t>Geng, Yong/B-6310-2018; Tian, Xu/AAX-7334-2020</t>
  </si>
  <si>
    <t>Geng, Yong/0000-0002-2284-1375; Tian, Xu/0000-0003-3265-5725</t>
  </si>
  <si>
    <t>National natural science foundation of China [72274120, 72088101]; National key research and development program [2019YFC1908500]</t>
  </si>
  <si>
    <t>National natural science foundation of China(National Natural Science Foundation of China (NSFC)); National key research and development program(National Key Research &amp; Development Program of China)</t>
  </si>
  <si>
    <t>This study is supported by the national natural science foundation of China (72274120, 72088101) and the national key research and development program (2019YFC1908500/01). The authors are grateful for the comments from the anonymous reviewers of this paper.</t>
  </si>
  <si>
    <t>J2R1Z</t>
  </si>
  <si>
    <t>Kim, SJ; Shin, SH; Shin, DO; Lee, WJ</t>
  </si>
  <si>
    <t>Kim, Se Jin; Shin, So Hee; Shin, Dong Ok; Lee, Won Jun</t>
  </si>
  <si>
    <t>Self-Reinforced Aramid Composites as Flame-Retardant Separators with Lithium-Ion Conduction</t>
  </si>
  <si>
    <t>FIBERS</t>
  </si>
  <si>
    <t>lithium-ion conduction; aramid fiber; LLZO; separator; self-reinforced composites</t>
  </si>
  <si>
    <t>SOLID-ELECTROLYTE; THERMAL RUNAWAY; METAL ANODE</t>
  </si>
  <si>
    <t>Conventional separators for lithium metal batteries suffer from poor thermal stability, flammability, and limited mechanical strength. In this study, we report a self-reinforced aramid separator integrated with Li7La3Zr2O12 (LLZO) via a sodium-naphthalene-based selective dissolution strategy. Controlled partial disruption of hydrogen bonding in copolymerized aramid enables the formation of a hierarchical structure consisting of intact fibers and nanofibrillar networks, thereby providing intrinsic mechanical reinforcement without binders. The separator maintains structural integrity up to similar to 400 degrees C and retains over 70% weight at 600 degrees C, exhibiting self-extinguishing behavior (LOI &gt; 30). Puncture strength is more than three times higher than Celgard((R)), while LLZO integration doubles the ionic conductivity along with excellent electrolyte wettability. This synergistic design provides a promising route toward intrinsically safe and high-performance lithium metal battery separators.</t>
  </si>
  <si>
    <t>[Kim, Se Jin; Shin, So Hee; Lee, Won Jun] Dankook Univ, Dept Fiber Syst Engn, 152 Jukjeon Ro, Yongin 16890, South Korea; [Shin, Dong Ok] Elect &amp; Telecommun Res Inst ETRI, Smart Mat Res Sect, 218 Gajeong Ro, Daejeon 34129, South Korea</t>
  </si>
  <si>
    <t>Dankook University; Electronics &amp; Telecommunications Research Institute - Korea (ETRI)</t>
  </si>
  <si>
    <t>Lee, WJ (corresponding author), Dankook Univ, Dept Fiber Syst Engn, 152 Jukjeon Ro, Yongin 16890, South Korea.;Shin, DO (corresponding author), Elect &amp; Telecommun Res Inst ETRI, Smart Mat Res Sect, 218 Gajeong Ro, Daejeon 34129, South Korea.</t>
  </si>
  <si>
    <t>doshin@etri.re.kr; wjlee@dankook.ac.kr</t>
  </si>
  <si>
    <t>Dankook University</t>
  </si>
  <si>
    <t>The present research was supported by the research fund of Dankook University in 2025.</t>
  </si>
  <si>
    <t>2079-6439</t>
  </si>
  <si>
    <t>Fibers</t>
  </si>
  <si>
    <t>MAR 31</t>
  </si>
  <si>
    <t>10.3390/fib14040042</t>
  </si>
  <si>
    <t>MAR 2026</t>
  </si>
  <si>
    <t>Materials Science, Multidisciplinary</t>
  </si>
  <si>
    <t>Materials Science</t>
  </si>
  <si>
    <t>HD2FY</t>
  </si>
  <si>
    <t>WOS:001751265100001</t>
  </si>
  <si>
    <t>Gao, YT; He, JM; Kang, JJ; Peng, JH; Bian, HT</t>
  </si>
  <si>
    <t>Gao, Yuting; He, Jiman; Kang, Jiajia; Peng, Jiahui; Bian, Hongtao</t>
  </si>
  <si>
    <t>Molecular Insights into Anion-Specific Freezing Point Depression in Lithium Salt Solutions</t>
  </si>
  <si>
    <t>JOURNAL OF PHYSICAL CHEMISTRY B</t>
  </si>
  <si>
    <t>AQUEOUS-SOLUTIONS; METAL-IONS; WATER; ELECTROLYTE; CHEMISTRY; TRANSPORT; PROTEINS; DYNAMICS</t>
  </si>
  <si>
    <t>The depression of freezing points in electrolyte aqueous solutions, a well-known colligative property, is traditionally attributed to entropy increases arising from ion-induced disruption of the hydrogen-bonding networks. However, the microscopic mechanisms governing this phenomenon remain poorly understood, particularly at concentrated salt concentrations where ion-specific effects emerge. In this study, we combined Raman spectroscopy, molecular dynamics (MD) simulations, and density functional theory (DFT) calculations to investigate the hydrogen-bonding structures of water in lithium salt solutions containing typical anions. MD simulations reveal that diffusion barriers of water are influenced by the anion identity, while DFT calculations indicate that anions with lower surface electrostatic potentials weaken the disruption of the hydrogen-bonding network caused by the cation. By systematically evaluating five lithium salts-LiClO4, LiNO3, LiBF4, LiCl, and LiTFSI-we show that freezing point depression in lithium salt solutions arises from a complex interplay of anion-water, cation-anion, and cation-water interactions. Notably, the freezing point trends deviate from the Hofmeister series, suggesting the critical role of ion-pairing and aggregate formation in determining solution behavior. Our results further indicate that rather than the intrinsic structure-disrupting ability of Hofmeister anions, the mobility of water molecules within the ions' hydration shells is a primary determinant of freezing behavior, challenging the conventional view and revealing the critical influence of local water dynamics on solid/liquid transitions. These findings provide molecular-level insights into the ion-specific effects governing freezing point depression in electrolyte solutions, with implications for lithium-ion battery electrolytes and other concentrated ionic systems.</t>
  </si>
  <si>
    <t>[Gao, Yuting; He, Jiman; Kang, Jiajia; Peng, Jiahui; Bian, Hongtao] Shaanxi Normal Univ, Minist Educ, Inst New Concept Sensors &amp; Mol Mat, Key Lab Appl Surface &amp; Colloid Chem,Sch Chem &amp; Che, Xian 710119, Peoples R China</t>
  </si>
  <si>
    <t>Shaanxi Normal University</t>
  </si>
  <si>
    <t>Bian, HT (corresponding author), Shaanxi Normal Univ, Minist Educ, Inst New Concept Sensors &amp; Mol Mat, Key Lab Appl Surface &amp; Colloid Chem,Sch Chem &amp; Che, Xian 710119, Peoples R China.</t>
  </si>
  <si>
    <t>htbian@snnu.edu.cn</t>
  </si>
  <si>
    <t>Bian, Hongtao/F-1356-2010</t>
  </si>
  <si>
    <t>Bian, Hongtao/0000-0003-1004-2792</t>
  </si>
  <si>
    <t>Natural Science Foundation of China (NSFC) [22173054]; Natural Science Fundamental Research Plan of Shaanxi Province [2024JC-JCQN-15]; The 111 project [B14041]; Program for Changjiang Scholars and the Innovative Research Team in University [IRT-14R33]</t>
  </si>
  <si>
    <t>Natural Science Foundation of China (NSFC)(National Natural Science Foundation of China (NSFC)); Natural Science Fundamental Research Plan of Shaanxi Province; The 111 project(Ministry of Education, China - 111 Project); Program for Changjiang Scholars and the Innovative Research Team in University(Program for Changjiang Scholars &amp; Innovative Research Team in University (PCSIRT))</t>
  </si>
  <si>
    <t>We thank the support from the Natural Science Foundation of China (NSFC, No. 22173054), Natural Science Fundamental Research Plan of Shaanxi Province (No. 2024JC-JCQN-15), 111 project (B14041) and Program for Changjiang Scholars and the Innovative Research Team in University (IRT-14R33). H. B. thanks Weixi Bian for her inspiring ideas that contributed to the design of the TOC graphic.</t>
  </si>
  <si>
    <t>1520-6106</t>
  </si>
  <si>
    <t>1520-5207</t>
  </si>
  <si>
    <t>J PHYS CHEM B</t>
  </si>
  <si>
    <t>J. Phys. Chem. B</t>
  </si>
  <si>
    <t>FEB 26</t>
  </si>
  <si>
    <t>10.1021/acs.jpcb.5c00078</t>
  </si>
  <si>
    <t>Biophysics; Chemistry, Physical</t>
  </si>
  <si>
    <t>Biophysics; Chemistry</t>
  </si>
  <si>
    <t>0CL9R</t>
  </si>
  <si>
    <t>WOS:001433788000001</t>
  </si>
  <si>
    <t>Gejke, C; Nordström, E; Fransson, L; Edström, K; Häggström, L; Börjesson, L</t>
  </si>
  <si>
    <t>Infrared and in situ 119Sn Mossbauer study of lithiated tin borate glasses</t>
  </si>
  <si>
    <t>JOURNAL OF MATERIALS CHEMISTRY</t>
  </si>
  <si>
    <t>COMPOSITE OXIDE GLASSES; ION BATTERIES; LITHIUM; ANODES; INSERTION; SN2P2O7</t>
  </si>
  <si>
    <t>The effect of lithium ion insertion/extraction in a SnB2O4 glass electrode, particularly how it affects the glass network structure and the tin environment, has been investigated using in situ Mossbauer and diffuse reflectance infrared (DR-IR) spectroscopy. Two different potential ranges for the electrochemical cycle were investigated; (0.0-10.8) V and (0.01-1.0) V. During the first cycle of both potential ranges the lithium ions first inserted in to the electrode are observed to cause substantial disruption to the glass network. This disruption to the glass network appears to cause a large (50%) irreversible capacity loss in the first cycle. We also demonstrated differences in the cycling stability for different voltage ranges. The (0.01-0.8) V range showed superior cycling stability with a capacity of around 530 mA h g(-1) for at least 25 cycles. The in situ Mossbauer and DR-IR results show that during the subsequent 25 cycles the glass structure undergoes mainly reversible changes for both the potential ranges. However, the Mossbauer spectra of electrodes cycled in the (0.01-1.0) V range indicate a continuous change in the tin environment towards a more symmetric and lithium rich one for the fully charged state after 25 cycles, which is not observed for cycling in the (0.01-0.8) V range. This may explain the lower capacity experienced for cells cycled in the (0.01-1.0) V range.</t>
  </si>
  <si>
    <t>Chalmers Univ Technol, Dept Appl Phys, S-41296 Gothenburg, Sweden; Univ Uppsala, Dept Phys, S-75121 Uppsala, Sweden; Univ Uppsala, Dept Chem Mat, S-75121 Uppsala, Sweden</t>
  </si>
  <si>
    <t>Chalmers University of Technology; Uppsala University; Uppsala University</t>
  </si>
  <si>
    <t>Gejke, C (corresponding author), Chalmers Univ Technol, Dept Appl Phys, S-41296 Gothenburg, Sweden.</t>
  </si>
  <si>
    <t>Börjesson, Lars/B-2845-2014; Edstroem, Kristina/LRC-6790-2024</t>
  </si>
  <si>
    <t>Börjesson, Lars/0000-0002-1502-4852; Edstroem, Kristina/0000-0003-4440-2952</t>
  </si>
  <si>
    <t>0959-9428</t>
  </si>
  <si>
    <t>J MATER CHEM</t>
  </si>
  <si>
    <t>J. Mater. Chem.</t>
  </si>
  <si>
    <t>10.1039/b203469g</t>
  </si>
  <si>
    <t>Chemistry, Physical; Materials Science, Multidisciplinary</t>
  </si>
  <si>
    <t>Chemistry; Materials Science</t>
  </si>
  <si>
    <t>597ZJ</t>
  </si>
  <si>
    <t>WOS:000178250400025</t>
  </si>
  <si>
    <t>Jin, LY; Li, J; Wang, KF; Xia, WW; Zhu, ZQ; Wang, CR; Li, XF; Liu, HY</t>
  </si>
  <si>
    <t>Jin, Lin-Yu; Li, Jie; Wang, Kai-Feng; Xia, Wei-Wei; Zhu, Zhen-Qi; Wang, Chun-Ru; Li, Xin-Feng; Liu, Hai-Ying</t>
  </si>
  <si>
    <t>Blood-Spinal Cord Barrier in Spinal Cord Injury: A Review</t>
  </si>
  <si>
    <t>JOURNAL OF NEUROTRAUMA</t>
  </si>
  <si>
    <t>advanced therapeutic methods; blood– spinal cord barrier; junction proteins; permeability; spinal cord injury</t>
  </si>
  <si>
    <t>ENDOPLASMIC-RETICULUM STRESS; IMPROVES FUNCTIONAL RECOVERY; FOCAL CEREBRAL-ISCHEMIA; EPIDERMAL-GROWTH-FACTOR; LITHIUM-CHLORIDE CONTRIBUTES; PROMOTES LOCOMOTOR RECOVERY; MOOD STABILIZERS LITHIUM; TRAUMATIC BRAIN-INJURY; MARROW STROMAL CELLS; PROTOCATECHUIC ACID</t>
  </si>
  <si>
    <t>The blood-spinal cord barrier (BSCB), a physical barrier between the blood and spinal cord parenchyma, prevents the toxins, blood cells, and pathogens from entering the spinal cord and maintains a tightly controlled chemical balance in the spinal environment, which is necessary for proper neural function. A BSCB disruption, however, plays an important role in primary and secondary injury processes related to spinal cord injury (SCI). After SCI, the structure of the BSCB is broken down, which leads directly to leakage of blood components. At the same time, the permeability of the BSCB is also increased. Repairing the disruption of the BSCB could alleviate the SCI pathology. We review the morphology and pathology of the BSCB and progression of therapeutic methods targeting BSCB in SCI.</t>
  </si>
  <si>
    <t>[Jin, Lin-Yu; Wang, Kai-Feng; Xia, Wei-Wei; Zhu, Zhen-Qi; Liu, Hai-Ying] Peking Univ, Peoples Hosp, Dept Spinal Surg, Beijing, Peoples R China; [Li, Jie; Wang, Chun-Ru] Chinese Acad Sci, CAS Res Educ Ctr Excellence Mol Sci, Key Lab Mol Nanostruct &amp; Nanotechnol, Beijing Natl Lab Mol Sci,Inst Chem, Beijing, Peoples R China; [Li, Xin-Feng] Shanghai Jiao Tong Univ, Sch Med, Renji Hosp, Dept Spinal Surg, Shanghai, Peoples R China</t>
  </si>
  <si>
    <t>Peking University; Chinese Academy of Sciences; Institute of Chemistry, CAS; Shanghai Jiao Tong University</t>
  </si>
  <si>
    <t>Wang, CR (corresponding author), Chinese Acad Sci, CAS Res Educ Ctr Excellence Mol Sci, Key Lab Mol Nanostruct &amp; Nanotechnol, Beijing Natl Lab Mol Sci,Inst Chem, Beijing, Peoples R China.;Liu, HY (corresponding author), Peking Univ, Peoples Hosp, 11 South Xizhimen St, Beijing 100044, Peoples R China.;Li, XF (corresponding author), Shanghai Jiao Tong Univ, Sch Med, Renji Hosp, 1630 Dongfang Rd, Shanghai 200444, Peoples R China.</t>
  </si>
  <si>
    <t>crwang@iccas.ac.cn; lxfrenji@126.com; drlhypkuph@163.com</t>
  </si>
  <si>
    <t>Wang, Zhaohui/E-2326-2012; Li, Xin-Feng/GPG-2611-2022</t>
  </si>
  <si>
    <t>National Natural Science Foundation of China [81772292]; Open Project of Key Laboratory of Molecular Nanostructure and Nanotechnology, Chinese Academy of Sciences [KLMNN-2020-02]; National Key R&amp;D Program of China [2020YFB1313501]</t>
  </si>
  <si>
    <t>National Natural Science Foundation of China(National Natural Science Foundation of China (NSFC)); Open Project of Key Laboratory of Molecular Nanostructure and Nanotechnology, Chinese Academy of Sciences; National Key R&amp;D Program of China</t>
  </si>
  <si>
    <t>This work is funded by the National Natural Science Foundation of China (81772292), Open Project of Key Laboratory of Molecular Nanostructure and Nanotechnology, Chinese Academy of Sciences (No. KLMNN-2020-02), and National Key R&amp;D Program of China (No. 2020YFB1313501).</t>
  </si>
  <si>
    <t>SAGE PUBLICATIONS INC</t>
  </si>
  <si>
    <t>THOUSAND OAKS</t>
  </si>
  <si>
    <t>2455 TELLER RD, THOUSAND OAKS, CA 91320 USA</t>
  </si>
  <si>
    <t>0897-7151</t>
  </si>
  <si>
    <t>1557-9042</t>
  </si>
  <si>
    <t>J NEUROTRAUM</t>
  </si>
  <si>
    <t>J. Neurotrauma</t>
  </si>
  <si>
    <t>MAY 1</t>
  </si>
  <si>
    <t>10.1089/neu.2020.7413</t>
  </si>
  <si>
    <t>Critical Care Medicine; Clinical Neurology; Neurosciences</t>
  </si>
  <si>
    <t>General &amp; Internal Medicine; Neurosciences &amp; Neurology</t>
  </si>
  <si>
    <t>RW8TC</t>
  </si>
  <si>
    <t>WOS:000620269500001</t>
  </si>
  <si>
    <t>Myung, ST; Chung, HT; Komaba, S; Kumagai, N; Gu, HB</t>
  </si>
  <si>
    <t>Capacity fading of LiMn2O4 electrode synthesized by the emulsion drying method</t>
  </si>
  <si>
    <t>JOURNAL OF POWER SOURCES</t>
  </si>
  <si>
    <t>International Symposium on Rechargeable Lithium Batteries</t>
  </si>
  <si>
    <t>NOV 14-16, 1999</t>
  </si>
  <si>
    <t>KYOTO, JAPAN</t>
  </si>
  <si>
    <t>emulsion drying method; LiMn2O4; capacity fading; particle disruption</t>
  </si>
  <si>
    <t>SPINEL PHASE; CATHODE; CELLS; ELECTROCHEMISTRY</t>
  </si>
  <si>
    <t>We adapted the emulsion drying method to obtain highly crystalline spinel LiMn2O4 phase using LiNO3 and Mn(NO3)(2) . 6H(2)O as starting materials. The emulsion-dried powders were calcined at various temperatures for 24 h in air, and their crystalline phases were identified as a cubic spinel structure with the space group Fd3m by X-ray diffraction study. The initial discharge capacity of the samples calcined at 650 degrees C, 750 degrees C and 850 degrees C were approximately 120 mA h/g, irrespective of calcination temperature. However, their capacity fadings were significantly dependent on the calcination temperature. To investigate the structural changes in the oxide cathode, XRD experiment was carried out as functions of lithium content and charge-discharge cycling number. Through the SEM observation, it was found that particles were disrupted, and the degree of disruption increased with lithium content and cycling. (C) 2000 Elsevier Science S.A. All rights reserved.</t>
  </si>
  <si>
    <t>Iwate Univ, Fac Engn, Dept Appl Chem &amp; Mol Sci, Morioka, Iwate 0208551, Japan; Dongshin Univ, Fac Engn, Dept Ceram Engn, Naju 520714, Chonnam, South Korea; Chonnam Natl Univ, Fac Engn, Dept Elect Engn, Puk Gu, Kwangju 500757, South Korea</t>
  </si>
  <si>
    <t>Iwate University; Dongshin University; Chonnam National University</t>
  </si>
  <si>
    <t>Kumagai, N (corresponding author), Iwate Univ, Fac Engn, Dept Appl Chem &amp; Mol Sci, 4-3-5 Ueda, Morioka, Iwate 0208551, Japan.</t>
  </si>
  <si>
    <t>Chung, Hoon/A-7916-2012; Myung, Seung-Taek/GQH-8808-2022; Komaba, Shinichi/GRJ-7279-2022</t>
  </si>
  <si>
    <t>Chung, Hoon/0000-0002-5367-9294; Myung, Seung-Taek/0000-0001-6888-5376; Komaba, Shinichi/0000-0002-9757-5905</t>
  </si>
  <si>
    <t>0378-7753</t>
  </si>
  <si>
    <t>J POWER SOURCES</t>
  </si>
  <si>
    <t>J. Power Sources</t>
  </si>
  <si>
    <t>10.1016/S0378-7753(00)00455-9</t>
  </si>
  <si>
    <t>Chemistry, Physical; Electrochemistry; Energy &amp; Fuels; Materials Science, Multidisciplinary</t>
  </si>
  <si>
    <t>Chemistry; Electrochemistry; Energy &amp; Fuels; Materials Science</t>
  </si>
  <si>
    <t>337CF</t>
  </si>
  <si>
    <t>WOS:000088339300018</t>
  </si>
  <si>
    <t>SAIK, RP; BROWN, D</t>
  </si>
  <si>
    <t>LITHIUM - NOT A SENSITIVE INDICATOR OF HYDROGEN-ION DIFFUSION</t>
  </si>
  <si>
    <t>JOURNAL OF SURGICAL RESEARCH</t>
  </si>
  <si>
    <t>Li and H flux was measured in 3 mongrel dogs via a gastric fistula both before and after injury with Na-taurocholate (10 mM) and acetylsalicylic acid (20 mM). Both agents consistently caused back diffusion of H without a corresponding change in Li. Li is not a sensitive indicator of mucosal disruption.</t>
  </si>
  <si>
    <t>VET ADM HOSP, DEPT SURG, SAN DIEGO, CA 92161 USA; UNIV CALIF SAN DIEGO, SAN DIEGO, CA 92161 USA</t>
  </si>
  <si>
    <t>US Department of Veterans Affairs; Veterans Health Administration (VHA); University of California System; University of California San Diego</t>
  </si>
  <si>
    <t>0022-4804</t>
  </si>
  <si>
    <t>1095-8673</t>
  </si>
  <si>
    <t>J SURG RES</t>
  </si>
  <si>
    <t>J. Surg. Res.</t>
  </si>
  <si>
    <t>10.1016/0022-4804(78)90071-9</t>
  </si>
  <si>
    <t>Surgery</t>
  </si>
  <si>
    <t>FL843</t>
  </si>
  <si>
    <t>WOS:A1978FL84300013</t>
  </si>
  <si>
    <t>Wang, YH; Luo, SJ; Lv, WG; Kang, F; Zhang, S; Wu, SW; Zheng, XH; Sun, Z</t>
  </si>
  <si>
    <t>Wang, Yuehai; Luo, Shaojun; Lv, Weiguang; Kang, Fei; Zhang, Shuai; Wu, Shaowen; Zheng, Xiaohong; Sun, Zhi</t>
  </si>
  <si>
    <t>Efficient separation and recovery of lithium from extremely low-grade resources with a phase transition control strategy</t>
  </si>
  <si>
    <t>SEPARATION AND PURIFICATION TECHNOLOGY</t>
  </si>
  <si>
    <t>Lithium-bearing clay minerals; In-situ activation; Water leaching; Phase transition; Technoeconomic analysis</t>
  </si>
  <si>
    <t>The rapidly surging global demand for lithium has driven increasing research attention towards the exploitation and utilization of lithium-bearing resources. In this aspect, processing of lithium-bearing clay minerals (LCMs) with extremely low lithium content (i.e., &lt; 0.5 wt%) has attracted worldwide attention. However, it usually encounters challenges with high chemical consumption and complex recovery procedures. In this research, we propose a roasting free process for efficient separation and recovery of lithium with a phase transition control strategy. Phase evolution occurring throughout the mineral leaching process critically governs extraction efficiency and selectivity, necessitating precise control over phase states. This study achieves a mineral phase state with sufficient lithium liberation while maintaining other phases incompletely damaged and inert during processing through moderate mechanical disruption; followed by controlled the reaction conditions, a lithium leaching efficiency of 93.86 % is achieved with water as the sole medium. The high leaching efficiency was primarily driven by in-situ modification-induced phase transition and product reconstruction during the leaching process. Technoeconomic analysis demonstrates that the roasting free process provides excellent economic advantages, with carbon emissions being reduced by 60.50 %. This study presents a sustainable alternative for processing complex clay minerals and is expected to be applicable to other extremely low-grade resources.</t>
  </si>
  <si>
    <t>[Wang, Yuehai; Luo, Shaojun; Lv, Weiguang; Kang, Fei; Zhang, Shuai; Wu, Shaowen; Zheng, Xiaohong; Sun, Zhi] Chinese Acad Sci, Inst Proc Engn, Natl Engn Res Ctr Green Recycling Strateg Met Reso, Beijing 100190, Peoples R China; [Wang, Yuehai; Lv, Weiguang; Kang, Fei; Zhang, Shuai; Wu, Shaowen; Sun, Zhi] Univ Chinese Acad Sci, Sch Chem Engn, Beijing 100190, Peoples R China; [Luo, Shaojun] China Univ Min &amp; Technol, China Sch Chem &amp; Environm Engn, Beijing 100083, Peoples R China; [Zheng, Xiaohong] China Univ Geosci Beijing, Sch Mat Sci &amp; Technol, Beijing 100083, Peoples R China</t>
  </si>
  <si>
    <t>Chinese Academy of Sciences; Institute of Process Engineering, CAS; Chinese Academy of Sciences; University of Chinese Academy of Sciences, CAS; China University of Mining &amp; Technology; China University of Geosciences</t>
  </si>
  <si>
    <t>Zheng, XH; Sun, Z (corresponding author), Chinese Acad Sci, Inst Proc Engn, Natl Engn Res Ctr Green Recycling Strateg Met Reso, Beijing 100190, Peoples R China.;Sun, Z (corresponding author), Univ Chinese Acad Sci, Sch Chem Engn, Beijing 100190, Peoples R China.;Zheng, XH (corresponding author), China Univ Geosci Beijing, Sch Mat Sci &amp; Technol, Beijing 100083, Peoples R China.</t>
  </si>
  <si>
    <t>xhzheng@ipe.ac.cn; sunzhi@ipe.ac.cn</t>
  </si>
  <si>
    <t>zheng, xiaohong/PNI-0470-2026</t>
  </si>
  <si>
    <t>Strategic Priority Research Program of Chinese Academy of Sciences [XDA0430105]; The 14th Five-year Informatization Plan of Chinese Academy of Sciences, Construction of Scientific Data Center System [WX145XQ07-12]; China Minmetals Science and Technology Special Project [2022ZXA01]; China Postdoctoral Science Foundation [2024M763289]</t>
  </si>
  <si>
    <t>Strategic Priority Research Program of Chinese Academy of Sciences(Chinese Academy of Sciences); The 14th Five-year Informatization Plan of Chinese Academy of Sciences, Construction of Scientific Data Center System; China Minmetals Science and Technology Special Project; China Postdoctoral Science Foundation(China Postdoctoral Science Foundation)</t>
  </si>
  <si>
    <t>This study was supported by the Strategic Priority Research Program of Chinese Academy of Sciences (XDA0430105) ; the 14th Five-year Informatization Plan of Chinese Academy of Sciences, Construction of Scientific Data Center System (WX145XQ07-12) ; China Minmetals Science and Technology Special Project (2022ZXA01) ; China Postdoctoral Science Foundation (2024M763289) .</t>
  </si>
  <si>
    <t>1383-5866</t>
  </si>
  <si>
    <t>1873-3794</t>
  </si>
  <si>
    <t>SEP PURIF TECHNOL</t>
  </si>
  <si>
    <t>Sep. Purif. Technol.</t>
  </si>
  <si>
    <t>10.1016/j.seppur.2025.135992</t>
  </si>
  <si>
    <t>Engineering, Chemical</t>
  </si>
  <si>
    <t>Engineering</t>
  </si>
  <si>
    <t>C3389</t>
  </si>
  <si>
    <t>WOS:001620424500001</t>
  </si>
  <si>
    <t>Lithium pollution; Aquatic toxicology; Bioaccumulation; Oxidative stress; Toxicokinetic model</t>
  </si>
  <si>
    <t>WATER</t>
  </si>
  <si>
    <t>Beihang University</t>
  </si>
  <si>
    <t>; Wang, Xiangrui/GYD-5842-2022; fan, wen hong/F-6415-2012</t>
  </si>
  <si>
    <t>Zhao, Yufei/0009-0008-8974-612X; , YunZongLaMu/0009-0004-4317-7794; Wang, Xiangrui/0000-0003-4512-4149;</t>
  </si>
  <si>
    <t>Key Projects of the National Natural Science Foundation of China [42330710]</t>
  </si>
  <si>
    <t>Key Projects of the National Natural Science Foundation of China(National Natural Science Foundation of China (NSFC))</t>
  </si>
  <si>
    <t>This work was supported by the Key Projects of the National Natural Science Foundation of China (No. 42330710) .</t>
  </si>
  <si>
    <t>0166-445X</t>
  </si>
  <si>
    <t>1879-1514</t>
  </si>
  <si>
    <t>AQUAT TOXICOL</t>
  </si>
  <si>
    <t>Aquat. Toxicol.</t>
  </si>
  <si>
    <t>Marine &amp; Freshwater Biology; Toxicology</t>
  </si>
  <si>
    <t>8RA9J</t>
  </si>
  <si>
    <t>Evtikhin, VA; Lyublinski, IE; Vertkov, AV; Azizov, EA; Mirnov, SV; Lazarev, VB; Sotnikov, SM; Safronov, VM; Prokhorov, AS; Korzhavin, VM</t>
  </si>
  <si>
    <t>Main directions and recent test modeling results of lithium capillary-pore systems as plasma facing components</t>
  </si>
  <si>
    <t>PLASMA SCIENCE &amp; TECHNOLOGY</t>
  </si>
  <si>
    <t>lithium; divertor; plasma facing material</t>
  </si>
  <si>
    <t>At present the most promising principal solution of the divertor problem appears to be the use of liquid metals and primarily of lithium Capillary-Pore Systems (CPS) as of plasma facing materials. A solid CPS filled with liquid lithium will have a high resistance to surface and volume damage because of neutron radiation effects, melting, splashing and thermal stress-induced cracking in steady state and during plasma transitions to provide the normal operation of divertor target plates and first-wall protecting elements. These materials will not be the sources of impurities inducing an increase of Z(eff) and they will not be collected as dust in the divertor area and in ducts. Experiments with lithium CPS under Simulating conditions of plasma disruption on a hydrogen plasma accelerator MK-200 [similar to (10 - 15) MJ/m(2), similar to 50 mus] have been performed. The formation of a shielding layer of lithium plasma and the high stability of these systems have been shown. The new lithium limiter tests on an up-graded T-11M tokamak (plasma current up to 100 kA, pulse length similar to 0.3 s) have been performed. Sorption and desorption of plasma-forming gas, lithium emission into discharge, lithium erosion, deposited power of the limiter are investigated in these experiments. The first results of experiments are presented.</t>
  </si>
  <si>
    <t>FSUE Red Star Prana Ctr, Moscow, Russia; FSUE TRINITI, Troitsk, Moscow Region, Russia; RF Minist Atom Energy, Moscow, Russia</t>
  </si>
  <si>
    <t>Lyublinski, IE (corresponding author), FSUE Red Star Prana Ctr, Moscow, Russia.</t>
  </si>
  <si>
    <t>lyublinski@mtu-net.ru</t>
  </si>
  <si>
    <t>Vertkov, Alexey/JTS-9864-2023; /M-6953-2013</t>
  </si>
  <si>
    <t>Vertkov, Alexey/0000-0001-7164-2316; lyublinski, igor/0000-0001-8701-228X;</t>
  </si>
  <si>
    <t>IOP Publishing Ltd</t>
  </si>
  <si>
    <t>1009-0630</t>
  </si>
  <si>
    <t>2058-6272</t>
  </si>
  <si>
    <t>PLASMA SCI TECHNOL</t>
  </si>
  <si>
    <t>Plasma Sci. Technol.</t>
  </si>
  <si>
    <t>10.1088/1009-0630/6/3/005</t>
  </si>
  <si>
    <t>829UJ</t>
  </si>
  <si>
    <t>WOS:000222075300005</t>
  </si>
  <si>
    <t>Ono, M; Bell, MG; Hirooka, Y; Kaita, R; Kugel, HW; Mazzitelli, G; Menard, JE; Mirnov, SV; Shimada, M; Skinner, CH; Tabares, FL</t>
  </si>
  <si>
    <t>Ono, M.; Bell, M. G.; Hirooka, Y.; Kaita, R.; Kugel, H. W.; Mazzitelli, G.; Menard, J. E.; Mirnov, S. V.; Shimada, M.; Skinner, C. H.; Tabares, F. L.</t>
  </si>
  <si>
    <t>Conference Report on the 2nd International Symposium on Lithium Applications for Fusion Devices</t>
  </si>
  <si>
    <t>The 2nd International Symposium on Lithium Applications for Fusion Devices (ISLA-2011) was held on 27-29 April 2011 at the Princeton Plasma Physics Laboratory (PPPL) with broad participation from the community working on aspects of lithium research for fusion energy development. This community is expanding rapidly in many areas including experiments in magnetic confinement devices and a variety of lithium test stands, theory and modeling and developing innovative approaches. Overall, 53 presentations were given representing 26 institutions from 10 countries. The latest experimental results from nine magnetic fusion devices were given in 24 presentations, from NSTX (PPPL, USA), LTX (PPPL, USA), FT-U (ENEA, Italy), T-11M (TRINITY, RF), T-10 (Kurchatov Institute, RF), TJ-II (CIEMAT, Spain), EAST (ASIPP, China), HT-7 (ASIPP, China), and RFX (Padova, Italy). Sessions were devoted to: I. Lithium in magnetic confinement experiments (facility overviews), II. Lithium in magnetic confinement experiments (topical issues), III. Special session on liquid lithium technology, IV. Lithium laboratory test stands, V. Lithium theory/modeling/comments, VI. Innovative lithium applications and VII. Panel discussion on lithium PFC viability in magnetic fusion reactors. There was notable participation from the fusion technology communities, including the IFE, IFMIF and TBM communities providing productive exchanges with the physics oriented magnetic confinement lithium research groups. It was agreed to continue future exchanges of ideas and data to help develop attractive liquid lithium solutions for very challenging magnetic fusion issues, such as development of a high heat flux steady-state divertor concept and acceptable plasma disruption mitigation techniques while improving plasma performance with lithium. The next workshop will be held at ENEA, Frascati, Italy in 2013.</t>
  </si>
  <si>
    <t>[Ono, M.; Bell, M. G.; Kaita, R.; Kugel, H. W.; Menard, J. E.; Skinner, C. H.] Princeton Univ, Princeton Plasma Phys Lab, Princeton, NJ 08543 USA; [Hirooka, Y.] Natl Inst Nat Sci, Natl Inst Fus Sci, Toki, Gifu 5095292, Japan; [Mazzitelli, G.] Assoc EURATOM ENEA Fus, Ctr Ric Frascati, I-00044 Frascati, Italy; [Mirnov, S. V.] TRINITI, Troitsk 142190, Moscow Reg, Russia; [Shimada, M.] ITER Org, F-13067 St Paul Les Durance, France; [Tabares, F. L.] As EURATOM CIEMAT, Natl Inst Fus, Madrid 28040, Spain</t>
  </si>
  <si>
    <t>Princeton University; United States Department of Energy (DOE); Princeton Plasma Physics Laboratory; National Institutes of Natural Sciences (NINS) - Japan; National Institute for Fusion Science (NIFS) - Japan; Italian National Agency New Technical Energy &amp; Sustainable Economics Development; Italian National Agency New Technical Energy &amp; Sustainable Economics Development; Euratom; ITER; Euratom; Centro de Investigaciones Energeticas, Medioambientales Tecnologicas</t>
  </si>
  <si>
    <t>Ono, M (corresponding author), Princeton Univ, Princeton Plasma Phys Lab, POB 451, Princeton, NJ 08543 USA.</t>
  </si>
  <si>
    <t>Tabares, Francisco/K-2404-2014; Menard, Jonathan/AAO-3331-2021; Skinner, Charles/C-2314-2013</t>
  </si>
  <si>
    <t>Tabares, Francisco/0000-0001-7045-8672; Menard, Jonathan/0000-0003-1292-3286; Ono, Masayuki/0000-0001-9849-9417;</t>
  </si>
  <si>
    <t>DoE [DE-AC02-09CH11466]</t>
  </si>
  <si>
    <t>DoE(United States Department of Energy (DOE))</t>
  </si>
  <si>
    <t>This work was supported by DoE Contract No DE-AC02-09CH11466.</t>
  </si>
  <si>
    <t>0029-5515</t>
  </si>
  <si>
    <t>1741-4326</t>
  </si>
  <si>
    <t>NUCL FUSION</t>
  </si>
  <si>
    <t>Nucl. Fusion</t>
  </si>
  <si>
    <t>10.1088/0029-5515/52/3/037001</t>
  </si>
  <si>
    <t>906JB</t>
  </si>
  <si>
    <t>WOS:000301340200013</t>
  </si>
  <si>
    <t>KAVALIERS, M</t>
  </si>
  <si>
    <t>PERIOD LENGTHENING AND DISRUPTION OF SOCIALLY FACILITATED CIRCADIAN ACTIVITY RHYTHMS OF GOLDFISH BY LITHIUM</t>
  </si>
  <si>
    <t>The effects of Li on the circadian activity rhythms of individual and groups of goldfish, Carassius auratus, were examined. Individual control goldfish display stable freerunning circadian activity under constant illumination. When placed in groups of 20 the fish show a social facilitation of their circadian activity with a significantly longer and more stable group circadian period than that shown by individual fish. Chronic treatment with lithium chloride (15 mmol/l) causes a significant, reversible, lengthening of the circadian period of individual fish and elimination of the social facilitation of circadian activity by group formation.</t>
  </si>
  <si>
    <t>UNIV WESTERN ONTARIO, DEPT ZOOL, LONDON N6A 5B7, ONTARIO, CANADA</t>
  </si>
  <si>
    <t>10.1016/0031-9384(81)90233-X</t>
  </si>
  <si>
    <t>MK375</t>
  </si>
  <si>
    <t>WOS:A1981MK37500010</t>
  </si>
  <si>
    <t>Ren, J; Zuo, GZ; Hu, JS; Sun, Z; Li, JG; Zakharov, LE; Ruzic, DN; Xu, WY</t>
  </si>
  <si>
    <t>Ren, J.; Zuo, G. Z.; Hu, J. S.; Sun, Z.; Li, J. G.; Zakharov, L. E.; Ruzic, D. N.; Xu, W. Y.</t>
  </si>
  <si>
    <t>Investigations on interactions between the flowing liquid lithium limiter and plasmas</t>
  </si>
  <si>
    <t>Liquid lithium; Limiter; Interaction; HT-7</t>
  </si>
  <si>
    <t>PERFORMANCE; TOKAMAK; HT-7; EAST</t>
  </si>
  <si>
    <t>Two different designs of flowing liquid lithium limiter were first tested for power exhaust and particle removal in HT-7 in 2012 autumn campaign. During the experiments, the reliability and compatibility of the limiters within Tokamak were experimentally demonstrated, and some positive results were achieved. It was found that the flowing liquid lithium limiter was effective for suppressing H concentration and led to a low ratio of H/(H + D). O impurity was slightly decreased by using limiters as well as when using a Li coating. A significant increase of the wall retention ratio was also observed which resulted from the outstanding D particles pumping ability of flowing liquid lithium limiters. The strong interaction between plasma and lithium surface could cause lithium ejection into plasma and lead to disruptions. The stable plasmas produced by uniform Li flow were in favor of lithium control. While the limiters were applied with a uniform Li flow, the normal plasma was easy to be obtained, and the energy confinement time increased from similar to 0.025 s to 0.04s. Furthermore, it was encouraging to note that the application of flowing liquid lithium limiters could further improve the confinement of plasma by-10% on the basis of Li coating. These remarkable results will help for the following design of flowing liquid lithium limiter in EAST to improve the plasma operation. (C) 2015 Elsevier B.V. All rights reserved.</t>
  </si>
  <si>
    <t>[Ren, J.; Zuo, G. Z.; Hu, J. S.; Sun, Z.; Li, J. G.] Chinese Acad Sci, Inst Plasma Phys, Hefei 230031, Peoples R China; [Zakharov, L. E.] USA Princeton Plasma Phys Lab, Princeton, NJ 08543 USA; [Ruzic, D. N.; Xu, W. Y.] Univ Illinois Urbana Champaigns, Urbana, IL 61801 USA</t>
  </si>
  <si>
    <t>Chinese Academy of Sciences; Hefei Institutes of Physical Science, CAS; Princeton University; United States Department of Energy (DOE); Princeton Plasma Physics Laboratory</t>
  </si>
  <si>
    <t>Hu, JS (corresponding author), Chinese Acad Sci, Inst Plasma Phys, Hefei 230031, Peoples R China.</t>
  </si>
  <si>
    <t>hujs@ipp.ac.cn</t>
  </si>
  <si>
    <t>Zakharov, Leonid/H-2007-2016; Xu, Wenyu/O-1121-2016; Sun, Zhen/AHE-1975-2022; Ren, Jun/IAR-3902-2023</t>
  </si>
  <si>
    <t>Sun, Zhen/0000-0002-7224-3592; Ren, Jun/0000-0002-2256-1007</t>
  </si>
  <si>
    <t>National Magnetic Confinement Fusion Science Program of China [2013GB114004, 2013GB107004, 2014GB124006]; National Natural Science Foundation of China [11405210, 11375010, 11105181]</t>
  </si>
  <si>
    <t>National Magnetic Confinement Fusion Science Program of China; National Natural Science Foundation of China(National Natural Science Foundation of China (NSFC))</t>
  </si>
  <si>
    <t>This research was funded by the National Magnetic Confinement Fusion Science Program of China under Contract nos. 2013GB114004, 2013GB107004 and 2014GB124006, as well as the National Natural Science Foundation of China under Contract Nos. 11405210, 11375010 and 11105181.</t>
  </si>
  <si>
    <t>10.1016/j.fusengdes.2015.11.006</t>
  </si>
  <si>
    <t>DC8FQ</t>
  </si>
  <si>
    <t>WOS:000369455700006</t>
  </si>
  <si>
    <t>Zhou, Q; Wang, KK; Qiu, JM; Zhu, D; Tian, T; Zhang, YF; Qin, XM</t>
  </si>
  <si>
    <t>Zhou, Qin; Wang, Kankan; Qiu, Jiameng; Zhu, Di; Tian, Tian; Zhang, Yunfei; Qin, Ximing</t>
  </si>
  <si>
    <t>Comparative transcriptome analysis and CRISPR/Cas9 gene editing reveal that E4BP4 mediates lithium upregulation of Per2 expression</t>
  </si>
  <si>
    <t>OPEN BIOLOGY</t>
  </si>
  <si>
    <t>bipolar disorder; circadian clock; crispr; cas9; Per2 expression; lithium</t>
  </si>
  <si>
    <t>CIRCADIAN CLOCK; DISORDER; POLYMORPHISM; COMPONENTS; RHYTHMS; SYSTEM; PERIOD; SLEEP; MANIA; LIMB</t>
  </si>
  <si>
    <t>Bipolar disorder (BPD) is a psychiatric disorder characterized by alternate episodes of mania and depression. Disruption of normal circadian clock and abnormal sleep cycles are common symptoms of BPD patients. Lithium salt is currently an effective clinical therapeutic drug for BPD. Animal and cellular studies have found that lithium salt can upregulate the expression of the clock gene Per2, but the mechanism is unknown. We aim to understand the mechanism underlying the Per2 upregulation by lithium treatment. By taking approaches of both comparative transcriptome analysis and comparative qPCR analysis between human and murine cells, Lumicycle assay, luciferase assay and RT-qPCR assay showed that lithium could significantly upregulate the expression of Per2 in both mouse and human cells, and significantly inhibit the expression of E4bp4, which encodes a transcriptional inhibitor of Per2. After knocking out the cis-element upstream on the Per2 promoter that responds to E4BP4, the upregulation effect on Per2 by lithium disappeared. When E4bp4 gene was knocked out, the upregulation effect on Per2 by lithium salt disappeared. This study has found that lithium upregulates Per2 expression by reducing the expression of transcription factor E4BP4, but the mechanism of lithium salt downregulation of E4BP4 remains to be further studied. Our study provides a new therapeutic target and approaches for treating BPD.</t>
  </si>
  <si>
    <t>[Zhou, Qin; Wang, Kankan; Qiu, Jiameng; Zhu, Di; Tian, Tian; Qin, Ximing] Anhui Univ, Inst Phys Sci, Dept Hlth Sci, Hefei 230601, Anhui, Peoples R China; [Zhou, Qin; Wang, Kankan; Qiu, Jiameng; Zhu, Di; Tian, Tian; Qin, Ximing] Anhui Univ, Inst Informat Technol, Dept Hlth Sci, Hefei 230601, Anhui, Peoples R China; [Zhang, Yunfei] Anhui Univ, Modern Expt Technol Ctr, Inst Phys Sci, Hefei 230601, Anhui, Peoples R China; [Zhang, Yunfei] Anhui Univ, Modern Expt Technol Ctr, Inst Informat Technol, Hefei 230601, Anhui, Peoples R China</t>
  </si>
  <si>
    <t>Anhui University; Anhui University; Anhui University; Anhui University</t>
  </si>
  <si>
    <t>Qin, XM (corresponding author), Anhui Univ, Inst Phys Sci, Dept Hlth Sci, Hefei 230601, Anhui, Peoples R China.;Qin, XM (corresponding author), Anhui Univ, Inst Informat Technol, Dept Hlth Sci, Hefei 230601, Anhui, Peoples R China.;Zhang, YF (corresponding author), Anhui Univ, Modern Expt Technol Ctr, Inst Phys Sci, Hefei 230601, Anhui, Peoples R China.;Zhang, YF (corresponding author), Anhui Univ, Modern Expt Technol Ctr, Inst Informat Technol, Hefei 230601, Anhui, Peoples R China.</t>
  </si>
  <si>
    <t>yunfei.zhang@ahu.edu.cn; qin.ximing@ahu.edu.cn</t>
  </si>
  <si>
    <t>; Qin, Ximing/J-6485-2012</t>
  </si>
  <si>
    <t>Zhou, Qin/0000-0002-1492-7144; Qin, Ximing/0000-0003-2496-2434</t>
  </si>
  <si>
    <t>National Natural Science Foundation of China [32071158]; Anhui Provincial Natural Science Foundation [1608085MH212, 2008085MC68]; Research Start Grant from Anhui University [Y040418157]</t>
  </si>
  <si>
    <t>National Natural Science Foundation of China(National Natural Science Foundation of China (NSFC)); Anhui Provincial Natural Science Foundation(Natural Science Foundation of Anhui Province); Research Start Grant from Anhui University</t>
  </si>
  <si>
    <t>This work was financially supported by the grants from the National Natural Science Foundation of China (grant no. 32071158), Anhui Provincial Natural Science Foundation (grant nos. 1608085MH212 and 2008085MC68) and the Research Start Grant from Anhui University (grant no. Y040418157).</t>
  </si>
  <si>
    <t>ROYAL SOC</t>
  </si>
  <si>
    <t>6-9 CARLTON HOUSE TERRACE, LONDON SW1Y 5AG, ENGLAND</t>
  </si>
  <si>
    <t>2046-2441</t>
  </si>
  <si>
    <t>OPEN BIOL</t>
  </si>
  <si>
    <t>Open Biol</t>
  </si>
  <si>
    <t>10.1098/rsob.210140</t>
  </si>
  <si>
    <t>XO1IF</t>
  </si>
  <si>
    <t>WOS:000729946100001</t>
  </si>
  <si>
    <t>Mann, L; Heldman, E; Shaltiel, G; Belmaker, RH; Agam, G</t>
  </si>
  <si>
    <t>Mann, Liad; Heldman, Eliahu; Shaltiel, Galit; Belmaker, R. H.; Agam, Galila</t>
  </si>
  <si>
    <t>Lithium preferentially inhibits adenylyl cyclase V and VII isoforms</t>
  </si>
  <si>
    <t>INTERNATIONAL JOURNAL OF NEUROPSYCHOPHARMACOLOGY</t>
  </si>
  <si>
    <t>Adenylyl cyclase; dopamine; isoforms; lithium</t>
  </si>
  <si>
    <t>DOPAMINE D-2-LIKE; RAT-BRAIN; EXPRESSION; GENE; DISRUPTION; SUPERACTIVATION; DEPRESSION; INCREASES; MECHANISM; EXVIVO</t>
  </si>
  <si>
    <t>Lithium ions' inhibition of adenylyl cyclase (AC) has not been previously Studied for the newly discovered AC isoforms. COS7 cells were transfected with each of the nine membrane-bound AC isoforms cDNAs with or without D-1- or D-2-dopamine receptor cDNA. AC activity was measured as [H-3]cAMP accumulation in cells pre-incubated with [H-3]adenine followed by incubation with phosphodiesterase inhibitors together with either the D, agonist SKF-82958 alone, or forskolin, in the presence or absence of the D-2 agonist quinpirole. At 1 mM or 2 mM lithium inhibited only AC-V activity when the enzyme was stimulated by forskolin, a direct activator of AC. Lithium inhibited AC-V (by 50%,), AC-VII (by 40%) and AC-II (by 25%) when Stimulated via the D-1 receptors, but did not affect the Ca2+-activated isoforms when stimulated by the Ca2+ ionophore A23187. Quinpirole inhibits AC via the Gi protein. Lithium did not affect quinpirole-inhibited FSK-activated AC-V activity nor did it affect superactivated AC-V or AC-I following the removal of quinpirole. The data suggest interference of lithium with transduction pathways mediated via AC-V or AC-VII; only the active conformation of these AC isoforms is inhibited by lithium; the inhibitor), effect of lithium is abolished when the enzyme is superactivated. The marked inhibition of AC-V and AC-VII by lithium suggests that these two isoforms may be involved in mediating the mood-stabilizing effect of lithium.</t>
  </si>
  <si>
    <t>[Mann, Liad; Heldman, Eliahu; Agam, Galila] Ben Gurion Univ Negev, Fac Hlth Sci, Dept Clin Biochem, Beer Sheva, Israel; [Mann, Liad; Shaltiel, Galit; Belmaker, R. H.; Agam, Galila] Ben Gurion Univ Negev, Fac Hlth Sci, Stanley Res Ctr, Beer Sheva, Israel; [Shaltiel, Galit; Belmaker, R. H.; Agam, Galila] Ben Gurion Univ Negev, Zlotowski Ctr Neurosci, IL-84105 Beer Sheva, Israel; [Belmaker, R. H.] Ben Gurion Univ Negev, Mental Hlth Ctr, IL-84105 Beer Sheva, Israel</t>
  </si>
  <si>
    <t>Ben-Gurion University of the Negev; Ben-Gurion University of the Negev; Ben-Gurion University of the Negev; Ben-Gurion University of the Negev</t>
  </si>
  <si>
    <t>Heldman, E (corresponding author), Ben Gurion Univ Negev, Fac Hlth Sci, Dept Clin Biochem, Beer Sheva, Israel.</t>
  </si>
  <si>
    <t>eli.heldman@gmail.com</t>
  </si>
  <si>
    <t>AGAM, GALILA/F-1153-2012; Heldman, Eliahu/AAN-8953-2020</t>
  </si>
  <si>
    <t>OXFORD UNIV PRESS</t>
  </si>
  <si>
    <t>GREAT CLARENDON ST, OXFORD OX2 6DP, ENGLAND</t>
  </si>
  <si>
    <t>1461-1457</t>
  </si>
  <si>
    <t>1469-5111</t>
  </si>
  <si>
    <t>INT J NEUROPSYCHOPH</t>
  </si>
  <si>
    <t>Int. J. Neuropsychopharmacol.</t>
  </si>
  <si>
    <t>10.1017/S1461145707008395</t>
  </si>
  <si>
    <t>422DC</t>
  </si>
  <si>
    <t>WOS:000264406300009</t>
  </si>
  <si>
    <t>http://dx.doi.org/10.1016/j.resconrec.2025.108161</t>
  </si>
  <si>
    <t>View Full Record in Web of Science</t>
  </si>
  <si>
    <t>http://dx.doi.org/10.1016/j.fusengdes.2011.10.008</t>
  </si>
  <si>
    <t>http://dx.doi.org/10.1016/j.ejphar.2006.09.050</t>
  </si>
  <si>
    <t>http://dx.doi.org/10.1099/0022-1317-20-3-395</t>
  </si>
  <si>
    <t>http://dx.doi.org/10.1111/bdi.13162</t>
  </si>
  <si>
    <t>http://dx.doi.org/10.1136/jim-2020-MW.120</t>
  </si>
  <si>
    <t>http://dx.doi.org/10.1016/j.cie.2024.109919</t>
  </si>
  <si>
    <t>http://dx.doi.org/10.1016/j.apsusc.2017.09.134</t>
  </si>
  <si>
    <t>http://dx.doi.org/10.1016/S0924-977X(13)70568-6</t>
  </si>
  <si>
    <t>http://dx.doi.org/10.1128/JVI.5.2.173-178.1970</t>
  </si>
  <si>
    <t>http://dx.doi.org/10.1016/j.resourpol.2022.103225</t>
  </si>
  <si>
    <t>http://dx.doi.org/10.1152/physiol.2024.39.S1.2212</t>
  </si>
  <si>
    <t>http://dx.doi.org/10.1016/j.jnucmat.2010.11.080</t>
  </si>
  <si>
    <t>http://dx.doi.org/10.1111/bdi.13014</t>
  </si>
  <si>
    <t>http://dx.doi.org/10.1042/bst0200430</t>
  </si>
  <si>
    <t>http://dx.doi.org/10.3109/07420528909064622</t>
  </si>
  <si>
    <t>http://dx.doi.org/10.1016/j.fusengdes.2007.05.009</t>
  </si>
  <si>
    <t>http://dx.doi.org/10.1038/s41467-024-46418-1</t>
  </si>
  <si>
    <t>http://dx.doi.org/10.1016/j.fusengdes.2004.07.014</t>
  </si>
  <si>
    <t>http://dx.doi.org/10.1016/0091-3057(77)90164-2</t>
  </si>
  <si>
    <t>http://dx.doi.org/10.1038/s41598-025-21567-5</t>
  </si>
  <si>
    <t>http://dx.doi.org/10.1016/j.jclepro.2026.147885</t>
  </si>
  <si>
    <t>http://dx.doi.org/10.4088/JCP.v69n0324a</t>
  </si>
  <si>
    <t>http://dx.doi.org/10.1111/j.1600-0773.1992.tb01628.x</t>
  </si>
  <si>
    <t>http://dx.doi.org/10.1088/1555-6611/aa4ff2</t>
  </si>
  <si>
    <t>http://dx.doi.org/10.1002/yea.3251</t>
  </si>
  <si>
    <t>http://dx.doi.org/10.1124/jpet.105.090845</t>
  </si>
  <si>
    <t>http://dx.doi.org/10.1371/journal.pone.0033292</t>
  </si>
  <si>
    <t>http://dx.doi.org/10.1016/j.envint.2024.108861</t>
  </si>
  <si>
    <t>http://dx.doi.org/10.1134/S1063780X07080016</t>
  </si>
  <si>
    <t>http://dx.doi.org/10.13182/FST05-A765</t>
  </si>
  <si>
    <t>http://dx.doi.org/10.1074/jbc.M407890200</t>
  </si>
  <si>
    <t>http://dx.doi.org/10.1016/S0920-3796(02)00055-8</t>
  </si>
  <si>
    <t>http://dx.doi.org/10.3390/toxics14040345</t>
  </si>
  <si>
    <t>http://dx.doi.org/10.1080/00207543.2025.2534842</t>
  </si>
  <si>
    <t>http://dx.doi.org/10.1192/bjb.2021.126</t>
  </si>
  <si>
    <t>http://dx.doi.org/10.1109/TPS.2011.2181980</t>
  </si>
  <si>
    <t>http://dx.doi.org/10.1016/j.fusengdes.2016.09.001</t>
  </si>
  <si>
    <t>http://dx.doi.org/10.1136/jcp.48.6.582</t>
  </si>
  <si>
    <t>http://dx.doi.org/10.3171/2013.6.JNS13135</t>
  </si>
  <si>
    <t>http://dx.doi.org/10.3389/fncel.2023.1101006</t>
  </si>
  <si>
    <t>http://dx.doi.org/10.1016/j.bbrc.2017.12.119</t>
  </si>
  <si>
    <t>http://dx.doi.org/10.1097/WNF.0000000000000439</t>
  </si>
  <si>
    <t>http://dx.doi.org/10.1364/OE.17.022586</t>
  </si>
  <si>
    <t>http://dx.doi.org/10.1021/acs.est.4c10523</t>
  </si>
  <si>
    <t>http://dx.doi.org/10.1143/JJAP.44.6683</t>
  </si>
  <si>
    <t>http://dx.doi.org/10.1016/S0022-3115(98)00674-6</t>
  </si>
  <si>
    <t>http://dx.doi.org/10.1016/j.ebiom.2025.105676</t>
  </si>
  <si>
    <t>http://dx.doi.org/10.1063/1.4739411</t>
  </si>
  <si>
    <t>http://dx.doi.org/10.1016/S0022-3115(02)01450-2</t>
  </si>
  <si>
    <t>http://dx.doi.org/10.1039/b516431a</t>
  </si>
  <si>
    <t>http://dx.doi.org/10.3390/min15080777</t>
  </si>
  <si>
    <t>http://dx.doi.org/10.1002/adsu.201900088</t>
  </si>
  <si>
    <t>http://dx.doi.org/10.1016/j.clet.2024.100749</t>
  </si>
  <si>
    <t>http://dx.doi.org/10.1016/0031-9384(86)90500-7</t>
  </si>
  <si>
    <t>http://dx.doi.org/10.1016/j.elecom.2016.07.001</t>
  </si>
  <si>
    <t>http://dx.doi.org/10.1007/BF01027501</t>
  </si>
  <si>
    <t>http://dx.doi.org/10.1016/j.rcradv.2025.200266</t>
  </si>
  <si>
    <t>http://dx.doi.org/10.1039/d3ee03740a</t>
  </si>
  <si>
    <t>http://dx.doi.org/10.1088/0741-3335/44/6/322</t>
  </si>
  <si>
    <t>http://dx.doi.org/10.1016/j.jenvman.2025.126512</t>
  </si>
  <si>
    <t>http://dx.doi.org/10.3390/su17083732</t>
  </si>
  <si>
    <t>http://dx.doi.org/10.1007/BF00279526</t>
  </si>
  <si>
    <t>http://dx.doi.org/10.1126/science.abd1714</t>
  </si>
  <si>
    <t>http://dx.doi.org/10.1016/j.fusengdes.2014.03.073</t>
  </si>
  <si>
    <t>http://dx.doi.org/10.1016/S0022-3115(98)00795-8</t>
  </si>
  <si>
    <t>http://dx.doi.org/10.1002/yea.320070307</t>
  </si>
  <si>
    <t>http://dx.doi.org/10.1063/1.1942530</t>
  </si>
  <si>
    <t>http://dx.doi.org/10.1016/j.jnucmat.2007.01.237</t>
  </si>
  <si>
    <t>http://dx.doi.org/10.1142/S0217979220503129</t>
  </si>
  <si>
    <t>http://dx.doi.org/10.3390/su11195229</t>
  </si>
  <si>
    <t>http://dx.doi.org/10.1016/S0920-3796(03)00018-8</t>
  </si>
  <si>
    <t>http://dx.doi.org/10.1016/j.resourpol.2023.104339</t>
  </si>
  <si>
    <t>http://dx.doi.org/10.1016/0167-2738(95)00241-3</t>
  </si>
  <si>
    <t>http://dx.doi.org/10.1007/s10534-012-9552-8</t>
  </si>
  <si>
    <t>http://dx.doi.org/10.1038/s41598-023-46777-7</t>
  </si>
  <si>
    <t>http://dx.doi.org/10.2466/pms.1998.86.3c.1288</t>
  </si>
  <si>
    <t>http://dx.doi.org/10.1021/ma0614287</t>
  </si>
  <si>
    <t>http://dx.doi.org/10.1016/S0091-3057(97)00045-2</t>
  </si>
  <si>
    <t>http://dx.doi.org/10.1016/j.fusengdes.2011.10.004</t>
  </si>
  <si>
    <t>http://dx.doi.org/10.1016/0014-5793(96)00470-X</t>
  </si>
  <si>
    <t>http://dx.doi.org/10.1016/j.fusengdes.2011.07.010</t>
  </si>
  <si>
    <t>http://dx.doi.org/10.1111/febs.70034</t>
  </si>
  <si>
    <t>http://dx.doi.org/10.1146/annurev.pharmtox.41.1.789</t>
  </si>
  <si>
    <t>http://dx.doi.org/10.1152/ajprenal.1990.259.2.F279</t>
  </si>
  <si>
    <t>http://dx.doi.org/10.1021/acs.nanolett.2c02973</t>
  </si>
  <si>
    <t>http://dx.doi.org/10.1111/j.1365-2605.2006.00697.x</t>
  </si>
  <si>
    <t>http://dx.doi.org/10.1016/j.resconrec.2024.107953</t>
  </si>
  <si>
    <t>http://dx.doi.org/10.3390/fib14040042</t>
  </si>
  <si>
    <t>http://dx.doi.org/10.1021/acs.jpcb.5c00078</t>
  </si>
  <si>
    <t>http://dx.doi.org/10.1039/b203469g</t>
  </si>
  <si>
    <t>http://dx.doi.org/10.1089/neu.2020.7413</t>
  </si>
  <si>
    <t>http://dx.doi.org/10.1016/S0378-7753(00)00455-9</t>
  </si>
  <si>
    <t>http://dx.doi.org/10.1016/0022-4804(78)90071-9</t>
  </si>
  <si>
    <t>http://dx.doi.org/10.1016/j.seppur.2025.135992</t>
  </si>
  <si>
    <t>http://dx.doi.org/10.1016/j.aquatox.2025.107596</t>
  </si>
  <si>
    <t>http://dx.doi.org/10.1088/1009-0630/6/3/005</t>
  </si>
  <si>
    <t>http://dx.doi.org/10.1088/0029-5515/52/3/037001</t>
  </si>
  <si>
    <t>http://dx.doi.org/10.1016/0031-9384(81)90233-X</t>
  </si>
  <si>
    <t>http://dx.doi.org/10.1016/j.fusengdes.2015.11.006</t>
  </si>
  <si>
    <t>NA</t>
  </si>
  <si>
    <t>BORDERLINE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</si>
</sst>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A512-A949-E44C-926C-187E1B7DABA8}">
  <dimension ref="A1:BU201"/>
  <sheetViews>
    <sheetView tabSelected="1" topLeftCell="E1" zoomScaleNormal="100" workbookViewId="0">
      <selection activeCell="L201" sqref="A201:XFD201"/>
    </sheetView>
  </sheetViews>
  <sheetFormatPr baseColWidth="10" defaultRowHeight="16" x14ac:dyDescent="0.2"/>
  <cols>
    <col min="2" max="2" width="28.83203125" customWidth="1"/>
    <col min="9" max="9" width="100.33203125" customWidth="1"/>
    <col min="10" max="10" width="23.6640625" customWidth="1"/>
    <col min="14" max="14" width="19.1640625" customWidth="1"/>
    <col min="22" max="22" width="19.33203125" customWidth="1"/>
    <col min="23" max="23" width="142.1640625" style="1" customWidth="1"/>
  </cols>
  <sheetData>
    <row r="1" spans="1:73" ht="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260</v>
      </c>
      <c r="W1" s="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row>
    <row r="2" spans="1:73" ht="119" x14ac:dyDescent="0.2">
      <c r="A2" t="s">
        <v>72</v>
      </c>
      <c r="B2" t="s">
        <v>73</v>
      </c>
      <c r="C2" t="s">
        <v>74</v>
      </c>
      <c r="D2" t="s">
        <v>74</v>
      </c>
      <c r="E2" t="s">
        <v>74</v>
      </c>
      <c r="F2" t="s">
        <v>75</v>
      </c>
      <c r="G2" t="s">
        <v>74</v>
      </c>
      <c r="H2" t="s">
        <v>74</v>
      </c>
      <c r="I2" t="s">
        <v>76</v>
      </c>
      <c r="J2" t="s">
        <v>77</v>
      </c>
      <c r="K2" t="s">
        <v>74</v>
      </c>
      <c r="L2" t="s">
        <v>74</v>
      </c>
      <c r="M2" t="s">
        <v>74</v>
      </c>
      <c r="N2" t="s">
        <v>78</v>
      </c>
      <c r="O2" t="s">
        <v>74</v>
      </c>
      <c r="P2" t="s">
        <v>74</v>
      </c>
      <c r="Q2" t="s">
        <v>74</v>
      </c>
      <c r="R2" t="s">
        <v>74</v>
      </c>
      <c r="S2" t="s">
        <v>74</v>
      </c>
      <c r="T2" t="s">
        <v>74</v>
      </c>
      <c r="U2" t="s">
        <v>74</v>
      </c>
      <c r="V2" t="b">
        <v>1</v>
      </c>
      <c r="W2" s="1" t="s">
        <v>79</v>
      </c>
      <c r="X2" t="s">
        <v>80</v>
      </c>
      <c r="Y2" t="s">
        <v>74</v>
      </c>
      <c r="Z2" t="s">
        <v>81</v>
      </c>
      <c r="AA2" t="s">
        <v>82</v>
      </c>
      <c r="AB2" t="s">
        <v>74</v>
      </c>
      <c r="AC2" t="s">
        <v>74</v>
      </c>
      <c r="AD2" t="s">
        <v>74</v>
      </c>
      <c r="AE2" t="s">
        <v>74</v>
      </c>
      <c r="AF2" t="s">
        <v>74</v>
      </c>
      <c r="AG2" t="s">
        <v>74</v>
      </c>
      <c r="AH2" t="s">
        <v>74</v>
      </c>
      <c r="AI2">
        <v>11</v>
      </c>
      <c r="AJ2">
        <v>13</v>
      </c>
      <c r="AK2" t="s">
        <v>74</v>
      </c>
      <c r="AL2" t="s">
        <v>74</v>
      </c>
      <c r="AM2" t="s">
        <v>74</v>
      </c>
      <c r="AN2" t="s">
        <v>74</v>
      </c>
      <c r="AO2" t="s">
        <v>74</v>
      </c>
      <c r="AP2" t="s">
        <v>74</v>
      </c>
      <c r="AQ2" t="s">
        <v>74</v>
      </c>
      <c r="AR2" t="s">
        <v>74</v>
      </c>
      <c r="AS2" t="s">
        <v>74</v>
      </c>
      <c r="AT2" t="s">
        <v>74</v>
      </c>
      <c r="AU2" t="s">
        <v>83</v>
      </c>
      <c r="AV2">
        <v>2025</v>
      </c>
      <c r="AW2">
        <v>215</v>
      </c>
      <c r="AX2" t="s">
        <v>74</v>
      </c>
      <c r="AY2" t="s">
        <v>74</v>
      </c>
      <c r="AZ2" t="s">
        <v>74</v>
      </c>
      <c r="BA2" t="s">
        <v>74</v>
      </c>
      <c r="BB2" t="s">
        <v>74</v>
      </c>
      <c r="BC2" t="s">
        <v>74</v>
      </c>
      <c r="BD2" t="s">
        <v>74</v>
      </c>
      <c r="BE2">
        <v>108161</v>
      </c>
      <c r="BF2" t="s">
        <v>84</v>
      </c>
      <c r="BG2" t="str">
        <f>HYPERLINK("http://dx.doi.org/10.1016/j.resconrec.2025.108161","http://dx.doi.org/10.1016/j.resconrec.2025.108161")</f>
        <v>http://dx.doi.org/10.1016/j.resconrec.2025.108161</v>
      </c>
      <c r="BH2" t="s">
        <v>74</v>
      </c>
      <c r="BI2" t="s">
        <v>85</v>
      </c>
      <c r="BJ2" t="s">
        <v>74</v>
      </c>
      <c r="BK2" t="s">
        <v>74</v>
      </c>
      <c r="BL2" t="s">
        <v>74</v>
      </c>
      <c r="BM2" t="s">
        <v>74</v>
      </c>
      <c r="BN2" t="s">
        <v>74</v>
      </c>
      <c r="BO2" t="s">
        <v>74</v>
      </c>
      <c r="BP2" t="s">
        <v>74</v>
      </c>
      <c r="BQ2" t="s">
        <v>74</v>
      </c>
      <c r="BR2" t="s">
        <v>74</v>
      </c>
      <c r="BS2" t="s">
        <v>86</v>
      </c>
      <c r="BT2" t="s">
        <v>87</v>
      </c>
      <c r="BU2" t="str">
        <f>HYPERLINK("https%3A%2F%2Fwww.webofscience.com%2Fwos%2Fwoscc%2Ffull-record%2FWOS:001423636000001","View Full Record in Web of Science")</f>
        <v>View Full Record in Web of Science</v>
      </c>
    </row>
    <row r="3" spans="1:73" ht="136" x14ac:dyDescent="0.2">
      <c r="A3" t="s">
        <v>72</v>
      </c>
      <c r="B3" t="s">
        <v>88</v>
      </c>
      <c r="C3" t="s">
        <v>74</v>
      </c>
      <c r="D3" t="s">
        <v>74</v>
      </c>
      <c r="E3" t="s">
        <v>74</v>
      </c>
      <c r="F3" t="s">
        <v>89</v>
      </c>
      <c r="G3" t="s">
        <v>74</v>
      </c>
      <c r="H3" t="s">
        <v>74</v>
      </c>
      <c r="I3" t="s">
        <v>90</v>
      </c>
      <c r="J3" t="s">
        <v>91</v>
      </c>
      <c r="K3" t="s">
        <v>74</v>
      </c>
      <c r="L3" t="s">
        <v>74</v>
      </c>
      <c r="M3" t="s">
        <v>74</v>
      </c>
      <c r="N3" t="s">
        <v>78</v>
      </c>
      <c r="O3" t="s">
        <v>74</v>
      </c>
      <c r="P3" t="s">
        <v>74</v>
      </c>
      <c r="Q3" t="s">
        <v>74</v>
      </c>
      <c r="R3" t="s">
        <v>74</v>
      </c>
      <c r="S3" t="s">
        <v>74</v>
      </c>
      <c r="T3" t="s">
        <v>74</v>
      </c>
      <c r="U3" t="s">
        <v>74</v>
      </c>
      <c r="V3" t="b">
        <v>1</v>
      </c>
      <c r="W3" s="1" t="s">
        <v>92</v>
      </c>
      <c r="X3" t="s">
        <v>93</v>
      </c>
      <c r="Y3" t="s">
        <v>74</v>
      </c>
      <c r="Z3" t="s">
        <v>94</v>
      </c>
      <c r="AA3" t="s">
        <v>95</v>
      </c>
      <c r="AB3" t="s">
        <v>74</v>
      </c>
      <c r="AC3" t="s">
        <v>74</v>
      </c>
      <c r="AD3" t="s">
        <v>74</v>
      </c>
      <c r="AE3" t="s">
        <v>74</v>
      </c>
      <c r="AF3" t="s">
        <v>74</v>
      </c>
      <c r="AG3" t="s">
        <v>74</v>
      </c>
      <c r="AH3" t="s">
        <v>74</v>
      </c>
      <c r="AI3">
        <v>234</v>
      </c>
      <c r="AJ3">
        <v>254</v>
      </c>
      <c r="AK3" t="s">
        <v>74</v>
      </c>
      <c r="AL3" t="s">
        <v>74</v>
      </c>
      <c r="AM3" t="s">
        <v>74</v>
      </c>
      <c r="AN3" t="s">
        <v>74</v>
      </c>
      <c r="AO3" t="s">
        <v>74</v>
      </c>
      <c r="AP3" t="s">
        <v>74</v>
      </c>
      <c r="AQ3" t="s">
        <v>74</v>
      </c>
      <c r="AR3" t="s">
        <v>74</v>
      </c>
      <c r="AS3" t="s">
        <v>74</v>
      </c>
      <c r="AT3" t="s">
        <v>74</v>
      </c>
      <c r="AU3" t="s">
        <v>96</v>
      </c>
      <c r="AV3">
        <v>2024</v>
      </c>
      <c r="AW3">
        <v>15</v>
      </c>
      <c r="AX3">
        <v>1</v>
      </c>
      <c r="AY3" t="s">
        <v>74</v>
      </c>
      <c r="AZ3" t="s">
        <v>74</v>
      </c>
      <c r="BA3" t="s">
        <v>74</v>
      </c>
      <c r="BB3" t="s">
        <v>74</v>
      </c>
      <c r="BC3" t="s">
        <v>74</v>
      </c>
      <c r="BD3" t="s">
        <v>74</v>
      </c>
      <c r="BE3">
        <v>2143</v>
      </c>
      <c r="BF3" t="s">
        <v>97</v>
      </c>
      <c r="BG3" t="str">
        <f>HYPERLINK("http://dx.doi.org/10.1038/s41467-024-46418-1","http://dx.doi.org/10.1038/s41467-024-46418-1")</f>
        <v>http://dx.doi.org/10.1038/s41467-024-46418-1</v>
      </c>
      <c r="BH3" t="s">
        <v>74</v>
      </c>
      <c r="BI3" t="s">
        <v>74</v>
      </c>
      <c r="BJ3" t="s">
        <v>74</v>
      </c>
      <c r="BK3" t="s">
        <v>74</v>
      </c>
      <c r="BL3" t="s">
        <v>74</v>
      </c>
      <c r="BM3" t="s">
        <v>74</v>
      </c>
      <c r="BN3" t="s">
        <v>74</v>
      </c>
      <c r="BO3" t="s">
        <v>74</v>
      </c>
      <c r="BP3" t="s">
        <v>74</v>
      </c>
      <c r="BQ3" t="s">
        <v>98</v>
      </c>
      <c r="BR3" t="s">
        <v>98</v>
      </c>
      <c r="BS3" t="s">
        <v>86</v>
      </c>
      <c r="BT3" t="s">
        <v>99</v>
      </c>
      <c r="BU3" t="str">
        <f>HYPERLINK("https%3A%2F%2Fwww.webofscience.com%2Fwos%2Fwoscc%2Ffull-record%2FWOS:001181488200011","View Full Record in Web of Science")</f>
        <v>View Full Record in Web of Science</v>
      </c>
    </row>
    <row r="4" spans="1:73" ht="170" x14ac:dyDescent="0.2">
      <c r="A4" t="s">
        <v>72</v>
      </c>
      <c r="B4" t="s">
        <v>100</v>
      </c>
      <c r="C4" t="s">
        <v>74</v>
      </c>
      <c r="D4" t="s">
        <v>74</v>
      </c>
      <c r="E4" t="s">
        <v>74</v>
      </c>
      <c r="F4" t="s">
        <v>101</v>
      </c>
      <c r="G4" t="s">
        <v>74</v>
      </c>
      <c r="H4" t="s">
        <v>74</v>
      </c>
      <c r="I4" t="s">
        <v>102</v>
      </c>
      <c r="J4" t="s">
        <v>103</v>
      </c>
      <c r="K4" t="s">
        <v>74</v>
      </c>
      <c r="L4" t="s">
        <v>74</v>
      </c>
      <c r="M4" t="s">
        <v>74</v>
      </c>
      <c r="N4" t="s">
        <v>78</v>
      </c>
      <c r="O4" t="s">
        <v>74</v>
      </c>
      <c r="P4" t="s">
        <v>74</v>
      </c>
      <c r="Q4" t="s">
        <v>74</v>
      </c>
      <c r="R4" t="s">
        <v>74</v>
      </c>
      <c r="S4" t="s">
        <v>74</v>
      </c>
      <c r="T4" t="s">
        <v>74</v>
      </c>
      <c r="U4" t="s">
        <v>74</v>
      </c>
      <c r="V4" t="b">
        <v>1</v>
      </c>
      <c r="W4" s="1" t="s">
        <v>104</v>
      </c>
      <c r="X4" t="s">
        <v>105</v>
      </c>
      <c r="Y4" t="s">
        <v>74</v>
      </c>
      <c r="Z4" t="s">
        <v>106</v>
      </c>
      <c r="AA4" t="s">
        <v>107</v>
      </c>
      <c r="AB4" t="s">
        <v>74</v>
      </c>
      <c r="AC4" t="s">
        <v>74</v>
      </c>
      <c r="AD4" t="s">
        <v>74</v>
      </c>
      <c r="AE4" t="s">
        <v>74</v>
      </c>
      <c r="AF4" t="s">
        <v>74</v>
      </c>
      <c r="AG4" t="s">
        <v>74</v>
      </c>
      <c r="AH4" t="s">
        <v>74</v>
      </c>
      <c r="AI4">
        <v>36</v>
      </c>
      <c r="AJ4">
        <v>41</v>
      </c>
      <c r="AK4" t="s">
        <v>74</v>
      </c>
      <c r="AL4" t="s">
        <v>74</v>
      </c>
      <c r="AM4" t="s">
        <v>74</v>
      </c>
      <c r="AN4" t="s">
        <v>74</v>
      </c>
      <c r="AO4" t="s">
        <v>74</v>
      </c>
      <c r="AP4" t="s">
        <v>74</v>
      </c>
      <c r="AQ4" t="s">
        <v>74</v>
      </c>
      <c r="AR4" t="s">
        <v>74</v>
      </c>
      <c r="AS4" t="s">
        <v>74</v>
      </c>
      <c r="AT4" t="s">
        <v>74</v>
      </c>
      <c r="AU4" t="s">
        <v>108</v>
      </c>
      <c r="AV4">
        <v>2023</v>
      </c>
      <c r="AW4">
        <v>80</v>
      </c>
      <c r="AX4" t="s">
        <v>74</v>
      </c>
      <c r="AY4" t="s">
        <v>74</v>
      </c>
      <c r="AZ4" t="s">
        <v>74</v>
      </c>
      <c r="BA4" t="s">
        <v>74</v>
      </c>
      <c r="BB4" t="s">
        <v>74</v>
      </c>
      <c r="BC4" t="s">
        <v>74</v>
      </c>
      <c r="BD4" t="s">
        <v>74</v>
      </c>
      <c r="BE4">
        <v>103225</v>
      </c>
      <c r="BF4" t="s">
        <v>109</v>
      </c>
      <c r="BG4" t="str">
        <f>HYPERLINK("http://dx.doi.org/10.1016/j.resourpol.2022.103225","http://dx.doi.org/10.1016/j.resourpol.2022.103225")</f>
        <v>http://dx.doi.org/10.1016/j.resourpol.2022.103225</v>
      </c>
      <c r="BH4" t="s">
        <v>74</v>
      </c>
      <c r="BI4" t="s">
        <v>110</v>
      </c>
      <c r="BJ4" t="s">
        <v>74</v>
      </c>
      <c r="BK4" t="s">
        <v>74</v>
      </c>
      <c r="BL4" t="s">
        <v>74</v>
      </c>
      <c r="BM4" t="s">
        <v>74</v>
      </c>
      <c r="BN4" t="s">
        <v>74</v>
      </c>
      <c r="BO4" t="s">
        <v>74</v>
      </c>
      <c r="BP4" t="s">
        <v>74</v>
      </c>
      <c r="BQ4" t="s">
        <v>74</v>
      </c>
      <c r="BR4" t="s">
        <v>74</v>
      </c>
      <c r="BS4" t="s">
        <v>86</v>
      </c>
      <c r="BT4" t="s">
        <v>111</v>
      </c>
      <c r="BU4" t="str">
        <f>HYPERLINK("https%3A%2F%2Fwww.webofscience.com%2Fwos%2Fwoscc%2Ffull-record%2FWOS:000901572600001","View Full Record in Web of Science")</f>
        <v>View Full Record in Web of Science</v>
      </c>
    </row>
    <row r="5" spans="1:73" ht="136" x14ac:dyDescent="0.2">
      <c r="A5" t="s">
        <v>72</v>
      </c>
      <c r="B5" t="s">
        <v>112</v>
      </c>
      <c r="C5" t="s">
        <v>74</v>
      </c>
      <c r="D5" t="s">
        <v>74</v>
      </c>
      <c r="E5" t="s">
        <v>74</v>
      </c>
      <c r="F5" t="s">
        <v>113</v>
      </c>
      <c r="G5" t="s">
        <v>74</v>
      </c>
      <c r="H5" t="s">
        <v>74</v>
      </c>
      <c r="I5" t="s">
        <v>114</v>
      </c>
      <c r="J5" t="s">
        <v>115</v>
      </c>
      <c r="K5" t="s">
        <v>74</v>
      </c>
      <c r="L5" t="s">
        <v>74</v>
      </c>
      <c r="M5" t="s">
        <v>74</v>
      </c>
      <c r="N5" t="s">
        <v>78</v>
      </c>
      <c r="O5" t="s">
        <v>74</v>
      </c>
      <c r="P5" t="s">
        <v>74</v>
      </c>
      <c r="Q5" t="s">
        <v>74</v>
      </c>
      <c r="R5" t="s">
        <v>74</v>
      </c>
      <c r="S5" t="s">
        <v>74</v>
      </c>
      <c r="T5" t="s">
        <v>74</v>
      </c>
      <c r="U5" t="s">
        <v>74</v>
      </c>
      <c r="V5" t="b">
        <v>1</v>
      </c>
      <c r="W5" s="1" t="s">
        <v>116</v>
      </c>
      <c r="X5" t="s">
        <v>117</v>
      </c>
      <c r="Y5" t="s">
        <v>74</v>
      </c>
      <c r="Z5" t="s">
        <v>118</v>
      </c>
      <c r="AA5" t="s">
        <v>119</v>
      </c>
      <c r="AB5" t="s">
        <v>74</v>
      </c>
      <c r="AC5" t="s">
        <v>74</v>
      </c>
      <c r="AD5" t="s">
        <v>74</v>
      </c>
      <c r="AE5" t="s">
        <v>74</v>
      </c>
      <c r="AF5" t="s">
        <v>74</v>
      </c>
      <c r="AG5" t="s">
        <v>74</v>
      </c>
      <c r="AH5" t="s">
        <v>74</v>
      </c>
      <c r="AI5">
        <v>43</v>
      </c>
      <c r="AJ5">
        <v>48</v>
      </c>
      <c r="AK5" t="s">
        <v>74</v>
      </c>
      <c r="AL5" t="s">
        <v>74</v>
      </c>
      <c r="AM5" t="s">
        <v>74</v>
      </c>
      <c r="AN5" t="s">
        <v>74</v>
      </c>
      <c r="AO5" t="s">
        <v>74</v>
      </c>
      <c r="AP5" t="s">
        <v>74</v>
      </c>
      <c r="AQ5" t="s">
        <v>74</v>
      </c>
      <c r="AR5" t="s">
        <v>74</v>
      </c>
      <c r="AS5" t="s">
        <v>74</v>
      </c>
      <c r="AT5" t="s">
        <v>74</v>
      </c>
      <c r="AU5" t="s">
        <v>120</v>
      </c>
      <c r="AV5">
        <v>2024</v>
      </c>
      <c r="AW5">
        <v>188</v>
      </c>
      <c r="AX5" t="s">
        <v>74</v>
      </c>
      <c r="AY5" t="s">
        <v>74</v>
      </c>
      <c r="AZ5" t="s">
        <v>74</v>
      </c>
      <c r="BA5" t="s">
        <v>74</v>
      </c>
      <c r="BB5" t="s">
        <v>74</v>
      </c>
      <c r="BC5" t="s">
        <v>74</v>
      </c>
      <c r="BD5" t="s">
        <v>74</v>
      </c>
      <c r="BE5">
        <v>109919</v>
      </c>
      <c r="BF5" t="s">
        <v>121</v>
      </c>
      <c r="BG5" t="str">
        <f>HYPERLINK("http://dx.doi.org/10.1016/j.cie.2024.109919","http://dx.doi.org/10.1016/j.cie.2024.109919")</f>
        <v>http://dx.doi.org/10.1016/j.cie.2024.109919</v>
      </c>
      <c r="BH5" t="s">
        <v>74</v>
      </c>
      <c r="BI5" t="s">
        <v>122</v>
      </c>
      <c r="BJ5" t="s">
        <v>74</v>
      </c>
      <c r="BK5" t="s">
        <v>74</v>
      </c>
      <c r="BL5" t="s">
        <v>74</v>
      </c>
      <c r="BM5" t="s">
        <v>74</v>
      </c>
      <c r="BN5" t="s">
        <v>74</v>
      </c>
      <c r="BO5" t="s">
        <v>74</v>
      </c>
      <c r="BP5" t="s">
        <v>74</v>
      </c>
      <c r="BQ5" t="s">
        <v>74</v>
      </c>
      <c r="BR5" t="s">
        <v>74</v>
      </c>
      <c r="BS5" t="s">
        <v>86</v>
      </c>
      <c r="BT5" t="s">
        <v>123</v>
      </c>
      <c r="BU5" t="str">
        <f>HYPERLINK("https%3A%2F%2Fwww.webofscience.com%2Fwos%2Fwoscc%2Ffull-record%2FWOS:001173936700001","View Full Record in Web of Science")</f>
        <v>View Full Record in Web of Science</v>
      </c>
    </row>
    <row r="6" spans="1:73" ht="136" x14ac:dyDescent="0.2">
      <c r="A6" t="s">
        <v>72</v>
      </c>
      <c r="B6" t="s">
        <v>124</v>
      </c>
      <c r="C6" t="s">
        <v>74</v>
      </c>
      <c r="D6" t="s">
        <v>74</v>
      </c>
      <c r="E6" t="s">
        <v>74</v>
      </c>
      <c r="F6" t="s">
        <v>125</v>
      </c>
      <c r="G6" t="s">
        <v>74</v>
      </c>
      <c r="H6" t="s">
        <v>74</v>
      </c>
      <c r="I6" t="s">
        <v>126</v>
      </c>
      <c r="J6" t="s">
        <v>127</v>
      </c>
      <c r="K6" t="s">
        <v>74</v>
      </c>
      <c r="L6" t="s">
        <v>74</v>
      </c>
      <c r="M6" t="s">
        <v>74</v>
      </c>
      <c r="N6" t="s">
        <v>78</v>
      </c>
      <c r="O6" t="s">
        <v>74</v>
      </c>
      <c r="P6" t="s">
        <v>74</v>
      </c>
      <c r="Q6" t="s">
        <v>74</v>
      </c>
      <c r="R6" t="s">
        <v>74</v>
      </c>
      <c r="S6" t="s">
        <v>74</v>
      </c>
      <c r="T6" t="s">
        <v>74</v>
      </c>
      <c r="U6" t="s">
        <v>74</v>
      </c>
      <c r="V6" t="b">
        <v>1</v>
      </c>
      <c r="W6" s="1" t="s">
        <v>128</v>
      </c>
      <c r="X6" t="s">
        <v>129</v>
      </c>
      <c r="Y6" t="s">
        <v>74</v>
      </c>
      <c r="Z6" t="s">
        <v>130</v>
      </c>
      <c r="AA6" t="s">
        <v>131</v>
      </c>
      <c r="AB6" t="s">
        <v>74</v>
      </c>
      <c r="AC6" t="s">
        <v>74</v>
      </c>
      <c r="AD6" t="s">
        <v>74</v>
      </c>
      <c r="AE6" t="s">
        <v>74</v>
      </c>
      <c r="AF6" t="s">
        <v>74</v>
      </c>
      <c r="AG6" t="s">
        <v>74</v>
      </c>
      <c r="AH6" t="s">
        <v>74</v>
      </c>
      <c r="AI6">
        <v>1</v>
      </c>
      <c r="AJ6">
        <v>1</v>
      </c>
      <c r="AK6" t="s">
        <v>74</v>
      </c>
      <c r="AL6" t="s">
        <v>74</v>
      </c>
      <c r="AM6" t="s">
        <v>74</v>
      </c>
      <c r="AN6" t="s">
        <v>74</v>
      </c>
      <c r="AO6" t="s">
        <v>74</v>
      </c>
      <c r="AP6" t="s">
        <v>74</v>
      </c>
      <c r="AQ6" t="s">
        <v>74</v>
      </c>
      <c r="AR6" t="s">
        <v>74</v>
      </c>
      <c r="AS6" t="s">
        <v>74</v>
      </c>
      <c r="AT6" t="s">
        <v>74</v>
      </c>
      <c r="AU6" t="s">
        <v>132</v>
      </c>
      <c r="AV6">
        <v>2026</v>
      </c>
      <c r="AW6">
        <v>64</v>
      </c>
      <c r="AX6">
        <v>1</v>
      </c>
      <c r="AY6" t="s">
        <v>74</v>
      </c>
      <c r="AZ6" t="s">
        <v>74</v>
      </c>
      <c r="BA6" t="s">
        <v>74</v>
      </c>
      <c r="BB6" t="s">
        <v>74</v>
      </c>
      <c r="BC6">
        <v>1</v>
      </c>
      <c r="BD6">
        <v>23</v>
      </c>
      <c r="BE6" t="s">
        <v>74</v>
      </c>
      <c r="BF6" t="s">
        <v>133</v>
      </c>
      <c r="BG6" t="str">
        <f>HYPERLINK("http://dx.doi.org/10.1080/00207543.2025.2534842","http://dx.doi.org/10.1080/00207543.2025.2534842")</f>
        <v>http://dx.doi.org/10.1080/00207543.2025.2534842</v>
      </c>
      <c r="BH6" t="s">
        <v>74</v>
      </c>
      <c r="BI6" t="s">
        <v>134</v>
      </c>
      <c r="BJ6" t="s">
        <v>74</v>
      </c>
      <c r="BK6" t="s">
        <v>74</v>
      </c>
      <c r="BL6" t="s">
        <v>74</v>
      </c>
      <c r="BM6" t="s">
        <v>74</v>
      </c>
      <c r="BN6" t="s">
        <v>74</v>
      </c>
      <c r="BO6" t="s">
        <v>74</v>
      </c>
      <c r="BP6" t="s">
        <v>74</v>
      </c>
      <c r="BQ6" t="s">
        <v>74</v>
      </c>
      <c r="BR6" t="s">
        <v>74</v>
      </c>
      <c r="BS6" t="s">
        <v>86</v>
      </c>
      <c r="BT6" t="s">
        <v>135</v>
      </c>
      <c r="BU6" t="str">
        <f>HYPERLINK("https%3A%2F%2Fwww.webofscience.com%2Fwos%2Fwoscc%2Ffull-record%2FWOS:001532721300001","View Full Record in Web of Science")</f>
        <v>View Full Record in Web of Science</v>
      </c>
    </row>
    <row r="7" spans="1:73" ht="187" x14ac:dyDescent="0.2">
      <c r="A7" t="s">
        <v>72</v>
      </c>
      <c r="B7" t="s">
        <v>136</v>
      </c>
      <c r="C7" t="s">
        <v>74</v>
      </c>
      <c r="D7" t="s">
        <v>74</v>
      </c>
      <c r="E7" t="s">
        <v>74</v>
      </c>
      <c r="F7" t="s">
        <v>137</v>
      </c>
      <c r="G7" t="s">
        <v>74</v>
      </c>
      <c r="H7" t="s">
        <v>74</v>
      </c>
      <c r="I7" t="s">
        <v>138</v>
      </c>
      <c r="J7" t="s">
        <v>139</v>
      </c>
      <c r="K7" t="s">
        <v>74</v>
      </c>
      <c r="L7" t="s">
        <v>74</v>
      </c>
      <c r="M7" t="s">
        <v>74</v>
      </c>
      <c r="N7" t="s">
        <v>78</v>
      </c>
      <c r="O7" t="s">
        <v>74</v>
      </c>
      <c r="P7" t="s">
        <v>74</v>
      </c>
      <c r="Q7" t="s">
        <v>74</v>
      </c>
      <c r="R7" t="s">
        <v>74</v>
      </c>
      <c r="S7" t="s">
        <v>74</v>
      </c>
      <c r="T7" t="s">
        <v>74</v>
      </c>
      <c r="U7" t="s">
        <v>74</v>
      </c>
      <c r="V7" t="b">
        <v>1</v>
      </c>
      <c r="W7" s="1" t="s">
        <v>140</v>
      </c>
      <c r="X7" t="s">
        <v>141</v>
      </c>
      <c r="Y7" t="s">
        <v>74</v>
      </c>
      <c r="Z7" t="s">
        <v>142</v>
      </c>
      <c r="AA7" t="s">
        <v>143</v>
      </c>
      <c r="AB7" t="s">
        <v>74</v>
      </c>
      <c r="AC7" t="s">
        <v>74</v>
      </c>
      <c r="AD7" t="s">
        <v>74</v>
      </c>
      <c r="AE7" t="s">
        <v>74</v>
      </c>
      <c r="AF7" t="s">
        <v>74</v>
      </c>
      <c r="AG7" t="s">
        <v>74</v>
      </c>
      <c r="AH7" t="s">
        <v>74</v>
      </c>
      <c r="AI7">
        <v>0</v>
      </c>
      <c r="AJ7">
        <v>0</v>
      </c>
      <c r="AK7" t="s">
        <v>74</v>
      </c>
      <c r="AL7" t="s">
        <v>74</v>
      </c>
      <c r="AM7" t="s">
        <v>74</v>
      </c>
      <c r="AN7" t="s">
        <v>74</v>
      </c>
      <c r="AO7" t="s">
        <v>74</v>
      </c>
      <c r="AP7" t="s">
        <v>74</v>
      </c>
      <c r="AQ7" t="s">
        <v>74</v>
      </c>
      <c r="AR7" t="s">
        <v>74</v>
      </c>
      <c r="AS7" t="s">
        <v>74</v>
      </c>
      <c r="AT7" t="s">
        <v>74</v>
      </c>
      <c r="AU7" t="s">
        <v>144</v>
      </c>
      <c r="AV7">
        <v>2026</v>
      </c>
      <c r="AW7">
        <v>551</v>
      </c>
      <c r="AX7" t="s">
        <v>74</v>
      </c>
      <c r="AY7" t="s">
        <v>74</v>
      </c>
      <c r="AZ7" t="s">
        <v>74</v>
      </c>
      <c r="BA7" t="s">
        <v>74</v>
      </c>
      <c r="BB7" t="s">
        <v>74</v>
      </c>
      <c r="BC7" t="s">
        <v>74</v>
      </c>
      <c r="BD7" t="s">
        <v>74</v>
      </c>
      <c r="BE7">
        <v>147885</v>
      </c>
      <c r="BF7" t="s">
        <v>145</v>
      </c>
      <c r="BG7" t="str">
        <f>HYPERLINK("http://dx.doi.org/10.1016/j.jclepro.2026.147885","http://dx.doi.org/10.1016/j.jclepro.2026.147885")</f>
        <v>http://dx.doi.org/10.1016/j.jclepro.2026.147885</v>
      </c>
      <c r="BH7" t="s">
        <v>74</v>
      </c>
      <c r="BI7" t="s">
        <v>74</v>
      </c>
      <c r="BJ7" t="s">
        <v>74</v>
      </c>
      <c r="BK7" t="s">
        <v>74</v>
      </c>
      <c r="BL7" t="s">
        <v>74</v>
      </c>
      <c r="BM7" t="s">
        <v>74</v>
      </c>
      <c r="BN7" t="s">
        <v>74</v>
      </c>
      <c r="BO7" t="s">
        <v>74</v>
      </c>
      <c r="BP7" t="s">
        <v>74</v>
      </c>
      <c r="BQ7" t="s">
        <v>74</v>
      </c>
      <c r="BR7" t="s">
        <v>74</v>
      </c>
      <c r="BS7" t="s">
        <v>86</v>
      </c>
      <c r="BT7" t="s">
        <v>146</v>
      </c>
      <c r="BU7" t="str">
        <f>HYPERLINK("https%3A%2F%2Fwww.webofscience.com%2Fwos%2Fwoscc%2Ffull-record%2FWOS:001715342900001","View Full Record in Web of Science")</f>
        <v>View Full Record in Web of Science</v>
      </c>
    </row>
    <row r="8" spans="1:73" ht="136" x14ac:dyDescent="0.2">
      <c r="A8" t="s">
        <v>72</v>
      </c>
      <c r="B8" t="s">
        <v>147</v>
      </c>
      <c r="C8" t="s">
        <v>74</v>
      </c>
      <c r="D8" t="s">
        <v>74</v>
      </c>
      <c r="E8" t="s">
        <v>74</v>
      </c>
      <c r="F8" t="s">
        <v>148</v>
      </c>
      <c r="G8" t="s">
        <v>74</v>
      </c>
      <c r="H8" t="s">
        <v>74</v>
      </c>
      <c r="I8" t="s">
        <v>149</v>
      </c>
      <c r="J8" t="s">
        <v>150</v>
      </c>
      <c r="K8" t="s">
        <v>74</v>
      </c>
      <c r="L8" t="s">
        <v>74</v>
      </c>
      <c r="M8" t="s">
        <v>74</v>
      </c>
      <c r="N8" t="s">
        <v>78</v>
      </c>
      <c r="O8" t="s">
        <v>74</v>
      </c>
      <c r="P8" t="s">
        <v>74</v>
      </c>
      <c r="Q8" t="s">
        <v>74</v>
      </c>
      <c r="R8" t="s">
        <v>74</v>
      </c>
      <c r="S8" t="s">
        <v>74</v>
      </c>
      <c r="T8" t="s">
        <v>74</v>
      </c>
      <c r="U8" t="s">
        <v>74</v>
      </c>
      <c r="V8" t="b">
        <v>1</v>
      </c>
      <c r="W8" s="1" t="s">
        <v>151</v>
      </c>
      <c r="X8" t="s">
        <v>152</v>
      </c>
      <c r="Y8" t="s">
        <v>74</v>
      </c>
      <c r="Z8" t="s">
        <v>153</v>
      </c>
      <c r="AA8" t="s">
        <v>154</v>
      </c>
      <c r="AB8" t="s">
        <v>74</v>
      </c>
      <c r="AC8" t="s">
        <v>74</v>
      </c>
      <c r="AD8" t="s">
        <v>74</v>
      </c>
      <c r="AE8" t="s">
        <v>74</v>
      </c>
      <c r="AF8" t="s">
        <v>74</v>
      </c>
      <c r="AG8" t="s">
        <v>74</v>
      </c>
      <c r="AH8" t="s">
        <v>74</v>
      </c>
      <c r="AI8">
        <v>1</v>
      </c>
      <c r="AJ8">
        <v>3</v>
      </c>
      <c r="AK8" t="s">
        <v>74</v>
      </c>
      <c r="AL8" t="s">
        <v>74</v>
      </c>
      <c r="AM8" t="s">
        <v>74</v>
      </c>
      <c r="AN8" t="s">
        <v>74</v>
      </c>
      <c r="AO8" t="s">
        <v>74</v>
      </c>
      <c r="AP8" t="s">
        <v>74</v>
      </c>
      <c r="AQ8" t="s">
        <v>74</v>
      </c>
      <c r="AR8" t="s">
        <v>74</v>
      </c>
      <c r="AS8" t="s">
        <v>74</v>
      </c>
      <c r="AT8" t="s">
        <v>74</v>
      </c>
      <c r="AU8" t="s">
        <v>155</v>
      </c>
      <c r="AV8">
        <v>2025</v>
      </c>
      <c r="AW8">
        <v>27</v>
      </c>
      <c r="AX8" t="s">
        <v>74</v>
      </c>
      <c r="AY8" t="s">
        <v>74</v>
      </c>
      <c r="AZ8" t="s">
        <v>74</v>
      </c>
      <c r="BA8" t="s">
        <v>74</v>
      </c>
      <c r="BB8" t="s">
        <v>74</v>
      </c>
      <c r="BC8" t="s">
        <v>74</v>
      </c>
      <c r="BD8" t="s">
        <v>74</v>
      </c>
      <c r="BE8">
        <v>200266</v>
      </c>
      <c r="BF8" t="s">
        <v>156</v>
      </c>
      <c r="BG8" t="str">
        <f>HYPERLINK("http://dx.doi.org/10.1016/j.rcradv.2025.200266","http://dx.doi.org/10.1016/j.rcradv.2025.200266")</f>
        <v>http://dx.doi.org/10.1016/j.rcradv.2025.200266</v>
      </c>
      <c r="BH8" t="s">
        <v>74</v>
      </c>
      <c r="BI8" t="s">
        <v>157</v>
      </c>
      <c r="BJ8" t="s">
        <v>74</v>
      </c>
      <c r="BK8" t="s">
        <v>74</v>
      </c>
      <c r="BL8" t="s">
        <v>74</v>
      </c>
      <c r="BM8" t="s">
        <v>74</v>
      </c>
      <c r="BN8" t="s">
        <v>74</v>
      </c>
      <c r="BO8" t="s">
        <v>74</v>
      </c>
      <c r="BP8" t="s">
        <v>74</v>
      </c>
      <c r="BQ8" t="s">
        <v>74</v>
      </c>
      <c r="BR8" t="s">
        <v>74</v>
      </c>
      <c r="BS8" t="s">
        <v>86</v>
      </c>
      <c r="BT8" t="s">
        <v>158</v>
      </c>
      <c r="BU8" t="str">
        <f>HYPERLINK("https%3A%2F%2Fwww.webofscience.com%2Fwos%2Fwoscc%2Ffull-record%2FWOS:001519913500001","View Full Record in Web of Science")</f>
        <v>View Full Record in Web of Science</v>
      </c>
    </row>
    <row r="9" spans="1:73" ht="153" x14ac:dyDescent="0.2">
      <c r="A9" t="s">
        <v>72</v>
      </c>
      <c r="B9" t="s">
        <v>159</v>
      </c>
      <c r="C9" t="s">
        <v>74</v>
      </c>
      <c r="D9" t="s">
        <v>74</v>
      </c>
      <c r="E9" t="s">
        <v>74</v>
      </c>
      <c r="F9" t="s">
        <v>160</v>
      </c>
      <c r="G9" t="s">
        <v>74</v>
      </c>
      <c r="H9" t="s">
        <v>74</v>
      </c>
      <c r="I9" t="s">
        <v>161</v>
      </c>
      <c r="J9" t="s">
        <v>162</v>
      </c>
      <c r="K9" t="s">
        <v>74</v>
      </c>
      <c r="L9" t="s">
        <v>74</v>
      </c>
      <c r="M9" t="s">
        <v>74</v>
      </c>
      <c r="N9" t="s">
        <v>78</v>
      </c>
      <c r="O9" t="s">
        <v>74</v>
      </c>
      <c r="P9" t="s">
        <v>74</v>
      </c>
      <c r="Q9" t="s">
        <v>74</v>
      </c>
      <c r="R9" t="s">
        <v>74</v>
      </c>
      <c r="S9" t="s">
        <v>74</v>
      </c>
      <c r="T9" t="s">
        <v>74</v>
      </c>
      <c r="U9" t="s">
        <v>74</v>
      </c>
      <c r="V9" t="b">
        <v>1</v>
      </c>
      <c r="W9" s="1" t="s">
        <v>163</v>
      </c>
      <c r="X9" t="s">
        <v>164</v>
      </c>
      <c r="Y9" t="s">
        <v>74</v>
      </c>
      <c r="Z9" t="s">
        <v>165</v>
      </c>
      <c r="AA9" t="s">
        <v>166</v>
      </c>
      <c r="AB9" t="s">
        <v>74</v>
      </c>
      <c r="AC9" t="s">
        <v>74</v>
      </c>
      <c r="AD9" t="s">
        <v>74</v>
      </c>
      <c r="AE9" t="s">
        <v>74</v>
      </c>
      <c r="AF9" t="s">
        <v>74</v>
      </c>
      <c r="AG9" t="s">
        <v>74</v>
      </c>
      <c r="AH9" t="s">
        <v>74</v>
      </c>
      <c r="AI9">
        <v>31</v>
      </c>
      <c r="AJ9">
        <v>35</v>
      </c>
      <c r="AK9" t="s">
        <v>74</v>
      </c>
      <c r="AL9" t="s">
        <v>74</v>
      </c>
      <c r="AM9" t="s">
        <v>74</v>
      </c>
      <c r="AN9" t="s">
        <v>74</v>
      </c>
      <c r="AO9" t="s">
        <v>74</v>
      </c>
      <c r="AP9" t="s">
        <v>74</v>
      </c>
      <c r="AQ9" t="s">
        <v>74</v>
      </c>
      <c r="AR9" t="s">
        <v>74</v>
      </c>
      <c r="AS9" t="s">
        <v>74</v>
      </c>
      <c r="AT9" t="s">
        <v>74</v>
      </c>
      <c r="AU9" t="s">
        <v>167</v>
      </c>
      <c r="AV9">
        <v>2024</v>
      </c>
      <c r="AW9">
        <v>58</v>
      </c>
      <c r="AX9">
        <v>50</v>
      </c>
      <c r="AY9" t="s">
        <v>74</v>
      </c>
      <c r="AZ9" t="s">
        <v>74</v>
      </c>
      <c r="BA9" t="s">
        <v>74</v>
      </c>
      <c r="BB9" t="s">
        <v>74</v>
      </c>
      <c r="BC9">
        <v>22135</v>
      </c>
      <c r="BD9">
        <v>22147</v>
      </c>
      <c r="BE9" t="s">
        <v>74</v>
      </c>
      <c r="BF9" t="s">
        <v>168</v>
      </c>
      <c r="BG9" t="str">
        <f>HYPERLINK("http://dx.doi.org/10.1021/acs.est.4c10523","http://dx.doi.org/10.1021/acs.est.4c10523")</f>
        <v>http://dx.doi.org/10.1021/acs.est.4c10523</v>
      </c>
      <c r="BH9" t="s">
        <v>74</v>
      </c>
      <c r="BI9" t="s">
        <v>169</v>
      </c>
      <c r="BJ9" t="s">
        <v>74</v>
      </c>
      <c r="BK9" t="s">
        <v>74</v>
      </c>
      <c r="BL9" t="s">
        <v>74</v>
      </c>
      <c r="BM9" t="s">
        <v>74</v>
      </c>
      <c r="BN9" t="s">
        <v>74</v>
      </c>
      <c r="BO9" t="s">
        <v>74</v>
      </c>
      <c r="BP9" t="s">
        <v>74</v>
      </c>
      <c r="BQ9" t="s">
        <v>74</v>
      </c>
      <c r="BR9" t="s">
        <v>74</v>
      </c>
      <c r="BS9" t="s">
        <v>86</v>
      </c>
      <c r="BT9" t="s">
        <v>170</v>
      </c>
      <c r="BU9" t="str">
        <f>HYPERLINK("https%3A%2F%2Fwww.webofscience.com%2Fwos%2Fwoscc%2Ffull-record%2FWOS:001372143700001","View Full Record in Web of Science")</f>
        <v>View Full Record in Web of Science</v>
      </c>
    </row>
    <row r="10" spans="1:73" ht="136" x14ac:dyDescent="0.2">
      <c r="A10" t="s">
        <v>72</v>
      </c>
      <c r="B10" t="s">
        <v>171</v>
      </c>
      <c r="C10" t="s">
        <v>74</v>
      </c>
      <c r="D10" t="s">
        <v>74</v>
      </c>
      <c r="E10" t="s">
        <v>74</v>
      </c>
      <c r="F10" t="s">
        <v>172</v>
      </c>
      <c r="G10" t="s">
        <v>74</v>
      </c>
      <c r="H10" t="s">
        <v>74</v>
      </c>
      <c r="I10" t="s">
        <v>173</v>
      </c>
      <c r="J10" t="s">
        <v>174</v>
      </c>
      <c r="K10" t="s">
        <v>74</v>
      </c>
      <c r="L10" t="s">
        <v>74</v>
      </c>
      <c r="M10" t="s">
        <v>74</v>
      </c>
      <c r="N10" t="s">
        <v>78</v>
      </c>
      <c r="O10" t="s">
        <v>74</v>
      </c>
      <c r="P10" t="s">
        <v>74</v>
      </c>
      <c r="Q10" t="s">
        <v>74</v>
      </c>
      <c r="R10" t="s">
        <v>74</v>
      </c>
      <c r="S10" t="s">
        <v>74</v>
      </c>
      <c r="T10" t="s">
        <v>74</v>
      </c>
      <c r="U10" t="s">
        <v>74</v>
      </c>
      <c r="V10" t="b">
        <v>1</v>
      </c>
      <c r="W10" s="1" t="s">
        <v>175</v>
      </c>
      <c r="X10" t="s">
        <v>176</v>
      </c>
      <c r="Y10" t="s">
        <v>74</v>
      </c>
      <c r="Z10" t="s">
        <v>177</v>
      </c>
      <c r="AA10" t="s">
        <v>178</v>
      </c>
      <c r="AB10" t="s">
        <v>74</v>
      </c>
      <c r="AC10" t="s">
        <v>74</v>
      </c>
      <c r="AD10" t="s">
        <v>74</v>
      </c>
      <c r="AE10" t="s">
        <v>74</v>
      </c>
      <c r="AF10" t="s">
        <v>74</v>
      </c>
      <c r="AG10" t="s">
        <v>74</v>
      </c>
      <c r="AH10" t="s">
        <v>74</v>
      </c>
      <c r="AI10">
        <v>130</v>
      </c>
      <c r="AJ10">
        <v>149</v>
      </c>
      <c r="AK10" t="s">
        <v>74</v>
      </c>
      <c r="AL10" t="s">
        <v>74</v>
      </c>
      <c r="AM10" t="s">
        <v>74</v>
      </c>
      <c r="AN10" t="s">
        <v>74</v>
      </c>
      <c r="AO10" t="s">
        <v>74</v>
      </c>
      <c r="AP10" t="s">
        <v>74</v>
      </c>
      <c r="AQ10" t="s">
        <v>74</v>
      </c>
      <c r="AR10" t="s">
        <v>74</v>
      </c>
      <c r="AS10" t="s">
        <v>74</v>
      </c>
      <c r="AT10" t="s">
        <v>74</v>
      </c>
      <c r="AU10" t="s">
        <v>179</v>
      </c>
      <c r="AV10">
        <v>2019</v>
      </c>
      <c r="AW10">
        <v>14</v>
      </c>
      <c r="AX10" t="s">
        <v>74</v>
      </c>
      <c r="AY10" t="s">
        <v>74</v>
      </c>
      <c r="AZ10" t="s">
        <v>74</v>
      </c>
      <c r="BA10" t="s">
        <v>74</v>
      </c>
      <c r="BB10" t="s">
        <v>74</v>
      </c>
      <c r="BC10" t="s">
        <v>74</v>
      </c>
      <c r="BD10" t="s">
        <v>74</v>
      </c>
      <c r="BE10">
        <v>100347</v>
      </c>
      <c r="BF10" t="s">
        <v>180</v>
      </c>
      <c r="BG10" t="str">
        <f>HYPERLINK("http://dx.doi.org/10.1016/j.mtener.2019.100347","http://dx.doi.org/10.1016/j.mtener.2019.100347")</f>
        <v>http://dx.doi.org/10.1016/j.mtener.2019.100347</v>
      </c>
      <c r="BH10" t="s">
        <v>74</v>
      </c>
      <c r="BI10" t="s">
        <v>74</v>
      </c>
      <c r="BJ10" t="s">
        <v>74</v>
      </c>
      <c r="BK10" t="s">
        <v>74</v>
      </c>
      <c r="BL10" t="s">
        <v>74</v>
      </c>
      <c r="BM10" t="s">
        <v>74</v>
      </c>
      <c r="BN10" t="s">
        <v>74</v>
      </c>
      <c r="BO10" t="s">
        <v>74</v>
      </c>
      <c r="BP10" t="s">
        <v>74</v>
      </c>
      <c r="BQ10" t="s">
        <v>74</v>
      </c>
      <c r="BR10" t="s">
        <v>74</v>
      </c>
      <c r="BS10" t="s">
        <v>86</v>
      </c>
      <c r="BT10" t="s">
        <v>181</v>
      </c>
      <c r="BU10" t="str">
        <f>HYPERLINK("https%3A%2F%2Fwww.webofscience.com%2Fwos%2Fwoscc%2Ffull-record%2FWOS:000504690500028","View Full Record in Web of Science")</f>
        <v>View Full Record in Web of Science</v>
      </c>
    </row>
    <row r="11" spans="1:73" ht="136" x14ac:dyDescent="0.2">
      <c r="A11" t="s">
        <v>72</v>
      </c>
      <c r="B11" t="s">
        <v>182</v>
      </c>
      <c r="C11" t="s">
        <v>74</v>
      </c>
      <c r="D11" t="s">
        <v>74</v>
      </c>
      <c r="E11" t="s">
        <v>74</v>
      </c>
      <c r="F11" t="s">
        <v>183</v>
      </c>
      <c r="G11" t="s">
        <v>74</v>
      </c>
      <c r="H11" t="s">
        <v>74</v>
      </c>
      <c r="I11" t="s">
        <v>184</v>
      </c>
      <c r="J11" t="s">
        <v>185</v>
      </c>
      <c r="K11" t="s">
        <v>74</v>
      </c>
      <c r="L11" t="s">
        <v>74</v>
      </c>
      <c r="M11" t="s">
        <v>74</v>
      </c>
      <c r="N11" t="s">
        <v>78</v>
      </c>
      <c r="O11" t="s">
        <v>74</v>
      </c>
      <c r="P11" t="s">
        <v>74</v>
      </c>
      <c r="Q11" t="s">
        <v>74</v>
      </c>
      <c r="R11" t="s">
        <v>74</v>
      </c>
      <c r="S11" t="s">
        <v>74</v>
      </c>
      <c r="T11" t="s">
        <v>74</v>
      </c>
      <c r="U11" t="s">
        <v>74</v>
      </c>
      <c r="V11" t="b">
        <v>1</v>
      </c>
      <c r="W11" s="1" t="s">
        <v>186</v>
      </c>
      <c r="X11" t="s">
        <v>187</v>
      </c>
      <c r="Y11" t="s">
        <v>74</v>
      </c>
      <c r="Z11" t="s">
        <v>188</v>
      </c>
      <c r="AA11" t="s">
        <v>189</v>
      </c>
      <c r="AB11" t="s">
        <v>74</v>
      </c>
      <c r="AC11" t="s">
        <v>74</v>
      </c>
      <c r="AD11" t="s">
        <v>74</v>
      </c>
      <c r="AE11" t="s">
        <v>74</v>
      </c>
      <c r="AF11" t="s">
        <v>74</v>
      </c>
      <c r="AG11" t="s">
        <v>74</v>
      </c>
      <c r="AH11" t="s">
        <v>74</v>
      </c>
      <c r="AI11">
        <v>0</v>
      </c>
      <c r="AJ11">
        <v>0</v>
      </c>
      <c r="AK11" t="s">
        <v>74</v>
      </c>
      <c r="AL11" t="s">
        <v>74</v>
      </c>
      <c r="AM11" t="s">
        <v>74</v>
      </c>
      <c r="AN11" t="s">
        <v>74</v>
      </c>
      <c r="AO11" t="s">
        <v>74</v>
      </c>
      <c r="AP11" t="s">
        <v>74</v>
      </c>
      <c r="AQ11" t="s">
        <v>74</v>
      </c>
      <c r="AR11" t="s">
        <v>74</v>
      </c>
      <c r="AS11" t="s">
        <v>74</v>
      </c>
      <c r="AT11" t="s">
        <v>74</v>
      </c>
      <c r="AU11" t="s">
        <v>190</v>
      </c>
      <c r="AV11">
        <v>2026</v>
      </c>
      <c r="AW11">
        <v>119</v>
      </c>
      <c r="AX11" t="s">
        <v>74</v>
      </c>
      <c r="AY11" t="s">
        <v>74</v>
      </c>
      <c r="AZ11" t="s">
        <v>74</v>
      </c>
      <c r="BA11" t="s">
        <v>74</v>
      </c>
      <c r="BB11" t="s">
        <v>74</v>
      </c>
      <c r="BC11" t="s">
        <v>74</v>
      </c>
      <c r="BD11" t="s">
        <v>74</v>
      </c>
      <c r="BE11">
        <v>108378</v>
      </c>
      <c r="BF11" t="s">
        <v>191</v>
      </c>
      <c r="BG11" t="str">
        <f>HYPERLINK("http://dx.doi.org/10.1016/j.eiar.2026.108378","http://dx.doi.org/10.1016/j.eiar.2026.108378")</f>
        <v>http://dx.doi.org/10.1016/j.eiar.2026.108378</v>
      </c>
      <c r="BH11" t="s">
        <v>74</v>
      </c>
      <c r="BI11" t="s">
        <v>192</v>
      </c>
      <c r="BJ11" t="s">
        <v>74</v>
      </c>
      <c r="BK11" t="s">
        <v>74</v>
      </c>
      <c r="BL11" t="s">
        <v>74</v>
      </c>
      <c r="BM11" t="s">
        <v>74</v>
      </c>
      <c r="BN11" t="s">
        <v>74</v>
      </c>
      <c r="BO11" t="s">
        <v>74</v>
      </c>
      <c r="BP11" t="s">
        <v>74</v>
      </c>
      <c r="BQ11" t="s">
        <v>74</v>
      </c>
      <c r="BR11" t="s">
        <v>74</v>
      </c>
      <c r="BS11" t="s">
        <v>86</v>
      </c>
      <c r="BT11" t="s">
        <v>193</v>
      </c>
      <c r="BU11" t="str">
        <f>HYPERLINK("https%3A%2F%2Fwww.webofscience.com%2Fwos%2Fwoscc%2Ffull-record%2FWOS:001686967000001","View Full Record in Web of Science")</f>
        <v>View Full Record in Web of Science</v>
      </c>
    </row>
    <row r="12" spans="1:73" ht="221" x14ac:dyDescent="0.2">
      <c r="A12" t="s">
        <v>72</v>
      </c>
      <c r="B12" t="s">
        <v>194</v>
      </c>
      <c r="C12" t="s">
        <v>74</v>
      </c>
      <c r="D12" t="s">
        <v>74</v>
      </c>
      <c r="E12" t="s">
        <v>74</v>
      </c>
      <c r="F12" t="s">
        <v>195</v>
      </c>
      <c r="G12" t="s">
        <v>74</v>
      </c>
      <c r="H12" t="s">
        <v>74</v>
      </c>
      <c r="I12" t="s">
        <v>196</v>
      </c>
      <c r="J12" t="s">
        <v>103</v>
      </c>
      <c r="K12" t="s">
        <v>74</v>
      </c>
      <c r="L12" t="s">
        <v>74</v>
      </c>
      <c r="M12" t="s">
        <v>74</v>
      </c>
      <c r="N12" t="s">
        <v>78</v>
      </c>
      <c r="O12" t="s">
        <v>74</v>
      </c>
      <c r="P12" t="s">
        <v>74</v>
      </c>
      <c r="Q12" t="s">
        <v>74</v>
      </c>
      <c r="R12" t="s">
        <v>74</v>
      </c>
      <c r="S12" t="s">
        <v>74</v>
      </c>
      <c r="T12" t="s">
        <v>74</v>
      </c>
      <c r="U12" t="s">
        <v>74</v>
      </c>
      <c r="V12" t="b">
        <v>1</v>
      </c>
      <c r="W12" s="1" t="s">
        <v>197</v>
      </c>
      <c r="X12" t="s">
        <v>198</v>
      </c>
      <c r="Y12" t="s">
        <v>74</v>
      </c>
      <c r="Z12" t="s">
        <v>199</v>
      </c>
      <c r="AA12" t="s">
        <v>200</v>
      </c>
      <c r="AB12" t="s">
        <v>74</v>
      </c>
      <c r="AC12" t="s">
        <v>74</v>
      </c>
      <c r="AD12" t="s">
        <v>74</v>
      </c>
      <c r="AE12" t="s">
        <v>74</v>
      </c>
      <c r="AF12" t="s">
        <v>74</v>
      </c>
      <c r="AG12" t="s">
        <v>74</v>
      </c>
      <c r="AH12" t="s">
        <v>74</v>
      </c>
      <c r="AI12">
        <v>29</v>
      </c>
      <c r="AJ12">
        <v>35</v>
      </c>
      <c r="AK12" t="s">
        <v>74</v>
      </c>
      <c r="AL12" t="s">
        <v>74</v>
      </c>
      <c r="AM12" t="s">
        <v>74</v>
      </c>
      <c r="AN12" t="s">
        <v>74</v>
      </c>
      <c r="AO12" t="s">
        <v>74</v>
      </c>
      <c r="AP12" t="s">
        <v>74</v>
      </c>
      <c r="AQ12" t="s">
        <v>74</v>
      </c>
      <c r="AR12" t="s">
        <v>74</v>
      </c>
      <c r="AS12" t="s">
        <v>74</v>
      </c>
      <c r="AT12" t="s">
        <v>74</v>
      </c>
      <c r="AU12" t="s">
        <v>179</v>
      </c>
      <c r="AV12">
        <v>2023</v>
      </c>
      <c r="AW12">
        <v>87</v>
      </c>
      <c r="AX12" t="s">
        <v>74</v>
      </c>
      <c r="AY12" t="s">
        <v>201</v>
      </c>
      <c r="AZ12" t="s">
        <v>74</v>
      </c>
      <c r="BA12" t="s">
        <v>74</v>
      </c>
      <c r="BB12" t="s">
        <v>74</v>
      </c>
      <c r="BC12" t="s">
        <v>74</v>
      </c>
      <c r="BD12" t="s">
        <v>74</v>
      </c>
      <c r="BE12">
        <v>104339</v>
      </c>
      <c r="BF12" t="s">
        <v>202</v>
      </c>
      <c r="BG12" t="str">
        <f>HYPERLINK("http://dx.doi.org/10.1016/j.resourpol.2023.104339","http://dx.doi.org/10.1016/j.resourpol.2023.104339")</f>
        <v>http://dx.doi.org/10.1016/j.resourpol.2023.104339</v>
      </c>
      <c r="BH12" t="s">
        <v>74</v>
      </c>
      <c r="BI12" t="s">
        <v>203</v>
      </c>
      <c r="BJ12" t="s">
        <v>74</v>
      </c>
      <c r="BK12" t="s">
        <v>74</v>
      </c>
      <c r="BL12" t="s">
        <v>74</v>
      </c>
      <c r="BM12" t="s">
        <v>74</v>
      </c>
      <c r="BN12" t="s">
        <v>74</v>
      </c>
      <c r="BO12" t="s">
        <v>74</v>
      </c>
      <c r="BP12" t="s">
        <v>74</v>
      </c>
      <c r="BQ12" t="s">
        <v>74</v>
      </c>
      <c r="BR12" t="s">
        <v>74</v>
      </c>
      <c r="BS12" t="s">
        <v>86</v>
      </c>
      <c r="BT12" t="s">
        <v>204</v>
      </c>
      <c r="BU12" t="str">
        <f>HYPERLINK("https%3A%2F%2Fwww.webofscience.com%2Fwos%2Fwoscc%2Ffull-record%2FWOS:001109068600001","View Full Record in Web of Science")</f>
        <v>View Full Record in Web of Science</v>
      </c>
    </row>
    <row r="13" spans="1:73" ht="170" x14ac:dyDescent="0.2">
      <c r="A13" t="s">
        <v>72</v>
      </c>
      <c r="B13" t="s">
        <v>205</v>
      </c>
      <c r="C13" t="s">
        <v>74</v>
      </c>
      <c r="D13" t="s">
        <v>74</v>
      </c>
      <c r="E13" t="s">
        <v>74</v>
      </c>
      <c r="F13" t="s">
        <v>206</v>
      </c>
      <c r="G13" t="s">
        <v>74</v>
      </c>
      <c r="H13" t="s">
        <v>74</v>
      </c>
      <c r="I13" t="s">
        <v>207</v>
      </c>
      <c r="J13" t="s">
        <v>77</v>
      </c>
      <c r="K13" t="s">
        <v>74</v>
      </c>
      <c r="L13" t="s">
        <v>74</v>
      </c>
      <c r="M13" t="s">
        <v>74</v>
      </c>
      <c r="N13" t="s">
        <v>78</v>
      </c>
      <c r="O13" t="s">
        <v>74</v>
      </c>
      <c r="P13" t="s">
        <v>74</v>
      </c>
      <c r="Q13" t="s">
        <v>74</v>
      </c>
      <c r="R13" t="s">
        <v>74</v>
      </c>
      <c r="S13" t="s">
        <v>74</v>
      </c>
      <c r="T13" t="s">
        <v>74</v>
      </c>
      <c r="U13" t="s">
        <v>74</v>
      </c>
      <c r="V13" t="b">
        <v>1</v>
      </c>
      <c r="W13" s="1" t="s">
        <v>208</v>
      </c>
      <c r="X13" t="s">
        <v>209</v>
      </c>
      <c r="Y13" t="s">
        <v>74</v>
      </c>
      <c r="Z13" t="s">
        <v>210</v>
      </c>
      <c r="AA13" t="s">
        <v>211</v>
      </c>
      <c r="AB13" t="s">
        <v>74</v>
      </c>
      <c r="AC13" t="s">
        <v>74</v>
      </c>
      <c r="AD13" t="s">
        <v>74</v>
      </c>
      <c r="AE13" t="s">
        <v>74</v>
      </c>
      <c r="AF13" t="s">
        <v>74</v>
      </c>
      <c r="AG13" t="s">
        <v>74</v>
      </c>
      <c r="AH13" t="s">
        <v>74</v>
      </c>
      <c r="AI13">
        <v>10</v>
      </c>
      <c r="AJ13">
        <v>10</v>
      </c>
      <c r="AK13" t="s">
        <v>74</v>
      </c>
      <c r="AL13" t="s">
        <v>74</v>
      </c>
      <c r="AM13" t="s">
        <v>74</v>
      </c>
      <c r="AN13" t="s">
        <v>74</v>
      </c>
      <c r="AO13" t="s">
        <v>74</v>
      </c>
      <c r="AP13" t="s">
        <v>74</v>
      </c>
      <c r="AQ13" t="s">
        <v>74</v>
      </c>
      <c r="AR13" t="s">
        <v>74</v>
      </c>
      <c r="AS13" t="s">
        <v>74</v>
      </c>
      <c r="AT13" t="s">
        <v>74</v>
      </c>
      <c r="AU13" t="s">
        <v>108</v>
      </c>
      <c r="AV13">
        <v>2025</v>
      </c>
      <c r="AW13">
        <v>212</v>
      </c>
      <c r="AX13" t="s">
        <v>74</v>
      </c>
      <c r="AY13" t="s">
        <v>74</v>
      </c>
      <c r="AZ13" t="s">
        <v>74</v>
      </c>
      <c r="BA13" t="s">
        <v>74</v>
      </c>
      <c r="BB13" t="s">
        <v>74</v>
      </c>
      <c r="BC13" t="s">
        <v>74</v>
      </c>
      <c r="BD13" t="s">
        <v>74</v>
      </c>
      <c r="BE13">
        <v>107953</v>
      </c>
      <c r="BF13" t="s">
        <v>212</v>
      </c>
      <c r="BG13" t="str">
        <f>HYPERLINK("http://dx.doi.org/10.1016/j.resconrec.2024.107953","http://dx.doi.org/10.1016/j.resconrec.2024.107953")</f>
        <v>http://dx.doi.org/10.1016/j.resconrec.2024.107953</v>
      </c>
      <c r="BH13" t="s">
        <v>74</v>
      </c>
      <c r="BI13" t="s">
        <v>213</v>
      </c>
      <c r="BJ13" t="s">
        <v>74</v>
      </c>
      <c r="BK13" t="s">
        <v>74</v>
      </c>
      <c r="BL13" t="s">
        <v>74</v>
      </c>
      <c r="BM13" t="s">
        <v>74</v>
      </c>
      <c r="BN13" t="s">
        <v>74</v>
      </c>
      <c r="BO13" t="s">
        <v>74</v>
      </c>
      <c r="BP13" t="s">
        <v>74</v>
      </c>
      <c r="BQ13" t="s">
        <v>74</v>
      </c>
      <c r="BR13" t="s">
        <v>74</v>
      </c>
      <c r="BS13" t="s">
        <v>86</v>
      </c>
      <c r="BT13" t="s">
        <v>214</v>
      </c>
      <c r="BU13" t="str">
        <f>HYPERLINK("https%3A%2F%2Fwww.webofscience.com%2Fwos%2Fwoscc%2Ffull-record%2FWOS:001335581900001","View Full Record in Web of Science")</f>
        <v>View Full Record in Web of Science</v>
      </c>
    </row>
    <row r="14" spans="1:73" ht="119" x14ac:dyDescent="0.2">
      <c r="A14" t="s">
        <v>72</v>
      </c>
      <c r="B14" t="s">
        <v>215</v>
      </c>
      <c r="C14" t="s">
        <v>74</v>
      </c>
      <c r="D14" t="s">
        <v>74</v>
      </c>
      <c r="E14" t="s">
        <v>74</v>
      </c>
      <c r="F14" t="s">
        <v>216</v>
      </c>
      <c r="G14" t="s">
        <v>74</v>
      </c>
      <c r="H14" t="s">
        <v>74</v>
      </c>
      <c r="I14" t="s">
        <v>217</v>
      </c>
      <c r="J14" t="s">
        <v>218</v>
      </c>
      <c r="K14" t="s">
        <v>74</v>
      </c>
      <c r="L14" t="s">
        <v>74</v>
      </c>
      <c r="M14" t="s">
        <v>74</v>
      </c>
      <c r="N14" t="s">
        <v>78</v>
      </c>
      <c r="O14" t="s">
        <v>74</v>
      </c>
      <c r="P14" t="s">
        <v>74</v>
      </c>
      <c r="Q14" t="s">
        <v>74</v>
      </c>
      <c r="R14" t="s">
        <v>74</v>
      </c>
      <c r="S14" t="s">
        <v>74</v>
      </c>
      <c r="T14" t="s">
        <v>74</v>
      </c>
      <c r="U14" t="s">
        <v>74</v>
      </c>
      <c r="V14" t="b">
        <v>1</v>
      </c>
      <c r="W14" s="1" t="s">
        <v>219</v>
      </c>
      <c r="X14" t="s">
        <v>220</v>
      </c>
      <c r="Y14" t="s">
        <v>74</v>
      </c>
      <c r="Z14" t="s">
        <v>221</v>
      </c>
      <c r="AA14" t="s">
        <v>222</v>
      </c>
      <c r="AB14" t="s">
        <v>74</v>
      </c>
      <c r="AC14" t="s">
        <v>74</v>
      </c>
      <c r="AD14" t="s">
        <v>74</v>
      </c>
      <c r="AE14" t="s">
        <v>74</v>
      </c>
      <c r="AF14" t="s">
        <v>74</v>
      </c>
      <c r="AG14" t="s">
        <v>74</v>
      </c>
      <c r="AH14" t="s">
        <v>74</v>
      </c>
      <c r="AI14">
        <v>9</v>
      </c>
      <c r="AJ14">
        <v>9</v>
      </c>
      <c r="AK14" t="s">
        <v>74</v>
      </c>
      <c r="AL14" t="s">
        <v>74</v>
      </c>
      <c r="AM14" t="s">
        <v>74</v>
      </c>
      <c r="AN14" t="s">
        <v>74</v>
      </c>
      <c r="AO14" t="s">
        <v>74</v>
      </c>
      <c r="AP14" t="s">
        <v>74</v>
      </c>
      <c r="AQ14" t="s">
        <v>74</v>
      </c>
      <c r="AR14" t="s">
        <v>74</v>
      </c>
      <c r="AS14" t="s">
        <v>74</v>
      </c>
      <c r="AT14" t="s">
        <v>74</v>
      </c>
      <c r="AU14" t="s">
        <v>223</v>
      </c>
      <c r="AV14">
        <v>2025</v>
      </c>
      <c r="AW14">
        <v>28</v>
      </c>
      <c r="AX14">
        <v>7</v>
      </c>
      <c r="AY14" t="s">
        <v>74</v>
      </c>
      <c r="AZ14" t="s">
        <v>74</v>
      </c>
      <c r="BA14" t="s">
        <v>74</v>
      </c>
      <c r="BB14" t="s">
        <v>74</v>
      </c>
      <c r="BC14" t="s">
        <v>74</v>
      </c>
      <c r="BD14" t="s">
        <v>74</v>
      </c>
      <c r="BE14">
        <v>112939</v>
      </c>
      <c r="BF14" t="s">
        <v>224</v>
      </c>
      <c r="BG14" t="str">
        <f>HYPERLINK("http://dx.doi.org/10.1016/j.isci.2025.112939","http://dx.doi.org/10.1016/j.isci.2025.112939")</f>
        <v>http://dx.doi.org/10.1016/j.isci.2025.112939</v>
      </c>
      <c r="BH14" t="s">
        <v>74</v>
      </c>
      <c r="BI14" t="s">
        <v>134</v>
      </c>
      <c r="BJ14" t="s">
        <v>74</v>
      </c>
      <c r="BK14" t="s">
        <v>74</v>
      </c>
      <c r="BL14" t="s">
        <v>74</v>
      </c>
      <c r="BM14" t="s">
        <v>74</v>
      </c>
      <c r="BN14" t="s">
        <v>74</v>
      </c>
      <c r="BO14" t="s">
        <v>74</v>
      </c>
      <c r="BP14" t="s">
        <v>74</v>
      </c>
      <c r="BQ14" t="s">
        <v>74</v>
      </c>
      <c r="BR14" t="s">
        <v>74</v>
      </c>
      <c r="BS14" t="s">
        <v>86</v>
      </c>
      <c r="BT14" t="s">
        <v>225</v>
      </c>
      <c r="BU14" t="str">
        <f>HYPERLINK("https%3A%2F%2Fwww.webofscience.com%2Fwos%2Fwoscc%2Ffull-record%2FWOS:001528922900007","View Full Record in Web of Science")</f>
        <v>View Full Record in Web of Science</v>
      </c>
    </row>
    <row r="15" spans="1:73" ht="170" x14ac:dyDescent="0.2">
      <c r="A15" t="s">
        <v>72</v>
      </c>
      <c r="B15" t="s">
        <v>226</v>
      </c>
      <c r="C15" t="s">
        <v>74</v>
      </c>
      <c r="D15" t="s">
        <v>74</v>
      </c>
      <c r="E15" t="s">
        <v>74</v>
      </c>
      <c r="F15" t="s">
        <v>227</v>
      </c>
      <c r="G15" t="s">
        <v>74</v>
      </c>
      <c r="H15" t="s">
        <v>74</v>
      </c>
      <c r="I15" t="s">
        <v>228</v>
      </c>
      <c r="J15" t="s">
        <v>103</v>
      </c>
      <c r="K15" t="s">
        <v>74</v>
      </c>
      <c r="L15" t="s">
        <v>74</v>
      </c>
      <c r="M15" t="s">
        <v>74</v>
      </c>
      <c r="N15" t="s">
        <v>78</v>
      </c>
      <c r="O15" t="s">
        <v>74</v>
      </c>
      <c r="P15" t="s">
        <v>74</v>
      </c>
      <c r="Q15" t="s">
        <v>74</v>
      </c>
      <c r="R15" t="s">
        <v>74</v>
      </c>
      <c r="S15" t="s">
        <v>74</v>
      </c>
      <c r="T15" t="s">
        <v>74</v>
      </c>
      <c r="U15" t="s">
        <v>74</v>
      </c>
      <c r="V15" t="b">
        <v>1</v>
      </c>
      <c r="W15" s="1" t="s">
        <v>229</v>
      </c>
      <c r="X15" t="s">
        <v>230</v>
      </c>
      <c r="Y15" t="s">
        <v>74</v>
      </c>
      <c r="Z15" t="s">
        <v>231</v>
      </c>
      <c r="AA15" t="s">
        <v>232</v>
      </c>
      <c r="AB15" t="s">
        <v>74</v>
      </c>
      <c r="AC15" t="s">
        <v>74</v>
      </c>
      <c r="AD15" t="s">
        <v>74</v>
      </c>
      <c r="AE15" t="s">
        <v>74</v>
      </c>
      <c r="AF15" t="s">
        <v>74</v>
      </c>
      <c r="AG15" t="s">
        <v>74</v>
      </c>
      <c r="AH15" t="s">
        <v>74</v>
      </c>
      <c r="AI15">
        <v>12</v>
      </c>
      <c r="AJ15">
        <v>12</v>
      </c>
      <c r="AK15" t="s">
        <v>74</v>
      </c>
      <c r="AL15" t="s">
        <v>74</v>
      </c>
      <c r="AM15" t="s">
        <v>74</v>
      </c>
      <c r="AN15" t="s">
        <v>74</v>
      </c>
      <c r="AO15" t="s">
        <v>74</v>
      </c>
      <c r="AP15" t="s">
        <v>74</v>
      </c>
      <c r="AQ15" t="s">
        <v>74</v>
      </c>
      <c r="AR15" t="s">
        <v>74</v>
      </c>
      <c r="AS15" t="s">
        <v>74</v>
      </c>
      <c r="AT15" t="s">
        <v>74</v>
      </c>
      <c r="AU15" t="s">
        <v>155</v>
      </c>
      <c r="AV15">
        <v>2022</v>
      </c>
      <c r="AW15">
        <v>78</v>
      </c>
      <c r="AX15" t="s">
        <v>74</v>
      </c>
      <c r="AY15" t="s">
        <v>74</v>
      </c>
      <c r="AZ15" t="s">
        <v>74</v>
      </c>
      <c r="BA15" t="s">
        <v>74</v>
      </c>
      <c r="BB15" t="s">
        <v>74</v>
      </c>
      <c r="BC15" t="s">
        <v>74</v>
      </c>
      <c r="BD15" t="s">
        <v>74</v>
      </c>
      <c r="BE15" t="s">
        <v>74</v>
      </c>
      <c r="BF15" t="s">
        <v>233</v>
      </c>
      <c r="BG15" t="str">
        <f>HYPERLINK("http://dx.doi.org/10.1016/j.resourpol.2022.102889","http://dx.doi.org/10.1016/j.resourpol.2022.102889")</f>
        <v>http://dx.doi.org/10.1016/j.resourpol.2022.102889</v>
      </c>
      <c r="BH15" t="s">
        <v>74</v>
      </c>
      <c r="BI15" t="s">
        <v>234</v>
      </c>
      <c r="BJ15" t="s">
        <v>74</v>
      </c>
      <c r="BK15" t="s">
        <v>74</v>
      </c>
      <c r="BL15" t="s">
        <v>74</v>
      </c>
      <c r="BM15" t="s">
        <v>74</v>
      </c>
      <c r="BN15" t="s">
        <v>74</v>
      </c>
      <c r="BO15" t="s">
        <v>74</v>
      </c>
      <c r="BP15" t="s">
        <v>74</v>
      </c>
      <c r="BQ15" t="s">
        <v>74</v>
      </c>
      <c r="BR15" t="s">
        <v>74</v>
      </c>
      <c r="BS15" t="s">
        <v>86</v>
      </c>
      <c r="BT15" t="s">
        <v>235</v>
      </c>
      <c r="BU15" t="str">
        <f>HYPERLINK("https%3A%2F%2Fwww.webofscience.com%2Fwos%2Fwoscc%2Ffull-record%2FWOS:000865022900007","View Full Record in Web of Science")</f>
        <v>View Full Record in Web of Science</v>
      </c>
    </row>
    <row r="16" spans="1:73" ht="170" x14ac:dyDescent="0.2">
      <c r="A16" t="s">
        <v>72</v>
      </c>
      <c r="B16" t="s">
        <v>236</v>
      </c>
      <c r="C16" t="s">
        <v>74</v>
      </c>
      <c r="D16" t="s">
        <v>74</v>
      </c>
      <c r="E16" t="s">
        <v>74</v>
      </c>
      <c r="F16" t="s">
        <v>237</v>
      </c>
      <c r="G16" t="s">
        <v>74</v>
      </c>
      <c r="H16" t="s">
        <v>74</v>
      </c>
      <c r="I16" t="s">
        <v>238</v>
      </c>
      <c r="J16" t="s">
        <v>239</v>
      </c>
      <c r="K16" t="s">
        <v>74</v>
      </c>
      <c r="L16" t="s">
        <v>74</v>
      </c>
      <c r="M16" t="s">
        <v>74</v>
      </c>
      <c r="N16" t="s">
        <v>78</v>
      </c>
      <c r="O16" t="s">
        <v>74</v>
      </c>
      <c r="P16" t="s">
        <v>74</v>
      </c>
      <c r="Q16" t="s">
        <v>74</v>
      </c>
      <c r="R16" t="s">
        <v>74</v>
      </c>
      <c r="S16" t="s">
        <v>74</v>
      </c>
      <c r="T16" t="s">
        <v>74</v>
      </c>
      <c r="U16" t="s">
        <v>74</v>
      </c>
      <c r="V16" t="b">
        <v>1</v>
      </c>
      <c r="W16" s="1" t="s">
        <v>240</v>
      </c>
      <c r="X16" t="s">
        <v>241</v>
      </c>
      <c r="Y16" t="s">
        <v>74</v>
      </c>
      <c r="Z16" t="s">
        <v>242</v>
      </c>
      <c r="AA16" t="s">
        <v>243</v>
      </c>
      <c r="AB16" t="s">
        <v>74</v>
      </c>
      <c r="AC16" t="s">
        <v>74</v>
      </c>
      <c r="AD16" t="s">
        <v>74</v>
      </c>
      <c r="AE16" t="s">
        <v>74</v>
      </c>
      <c r="AF16" t="s">
        <v>74</v>
      </c>
      <c r="AG16" t="s">
        <v>74</v>
      </c>
      <c r="AH16" t="s">
        <v>74</v>
      </c>
      <c r="AI16">
        <v>1</v>
      </c>
      <c r="AJ16">
        <v>1</v>
      </c>
      <c r="AK16" t="s">
        <v>74</v>
      </c>
      <c r="AL16" t="s">
        <v>74</v>
      </c>
      <c r="AM16" t="s">
        <v>74</v>
      </c>
      <c r="AN16" t="s">
        <v>74</v>
      </c>
      <c r="AO16" t="s">
        <v>74</v>
      </c>
      <c r="AP16" t="s">
        <v>74</v>
      </c>
      <c r="AQ16" t="s">
        <v>74</v>
      </c>
      <c r="AR16" t="s">
        <v>74</v>
      </c>
      <c r="AS16" t="s">
        <v>74</v>
      </c>
      <c r="AT16" t="s">
        <v>74</v>
      </c>
      <c r="AU16" t="s">
        <v>244</v>
      </c>
      <c r="AV16">
        <v>2026</v>
      </c>
      <c r="AW16">
        <v>262</v>
      </c>
      <c r="AX16" t="s">
        <v>74</v>
      </c>
      <c r="AY16" t="s">
        <v>74</v>
      </c>
      <c r="AZ16" t="s">
        <v>74</v>
      </c>
      <c r="BA16" t="s">
        <v>74</v>
      </c>
      <c r="BB16" t="s">
        <v>74</v>
      </c>
      <c r="BC16" t="s">
        <v>74</v>
      </c>
      <c r="BD16" t="s">
        <v>74</v>
      </c>
      <c r="BE16">
        <v>125372</v>
      </c>
      <c r="BF16" t="s">
        <v>245</v>
      </c>
      <c r="BG16" t="str">
        <f>HYPERLINK("http://dx.doi.org/10.1016/j.renene.2026.125372","http://dx.doi.org/10.1016/j.renene.2026.125372")</f>
        <v>http://dx.doi.org/10.1016/j.renene.2026.125372</v>
      </c>
      <c r="BH16" t="s">
        <v>74</v>
      </c>
      <c r="BI16" t="s">
        <v>192</v>
      </c>
      <c r="BJ16" t="s">
        <v>74</v>
      </c>
      <c r="BK16" t="s">
        <v>74</v>
      </c>
      <c r="BL16" t="s">
        <v>74</v>
      </c>
      <c r="BM16" t="s">
        <v>74</v>
      </c>
      <c r="BN16" t="s">
        <v>74</v>
      </c>
      <c r="BO16" t="s">
        <v>74</v>
      </c>
      <c r="BP16" t="s">
        <v>74</v>
      </c>
      <c r="BQ16" t="s">
        <v>74</v>
      </c>
      <c r="BR16" t="s">
        <v>74</v>
      </c>
      <c r="BS16" t="s">
        <v>86</v>
      </c>
      <c r="BT16" t="s">
        <v>246</v>
      </c>
      <c r="BU16" t="str">
        <f>HYPERLINK("https%3A%2F%2Fwww.webofscience.com%2Fwos%2Fwoscc%2Ffull-record%2FWOS:001688568700001","View Full Record in Web of Science")</f>
        <v>View Full Record in Web of Science</v>
      </c>
    </row>
    <row r="17" spans="1:73" ht="136" x14ac:dyDescent="0.2">
      <c r="A17" t="s">
        <v>72</v>
      </c>
      <c r="B17" t="s">
        <v>247</v>
      </c>
      <c r="C17" t="s">
        <v>74</v>
      </c>
      <c r="D17" t="s">
        <v>74</v>
      </c>
      <c r="E17" t="s">
        <v>74</v>
      </c>
      <c r="F17" t="s">
        <v>248</v>
      </c>
      <c r="G17" t="s">
        <v>74</v>
      </c>
      <c r="H17" t="s">
        <v>74</v>
      </c>
      <c r="I17" t="s">
        <v>249</v>
      </c>
      <c r="J17" t="s">
        <v>250</v>
      </c>
      <c r="K17" t="s">
        <v>74</v>
      </c>
      <c r="L17" t="s">
        <v>74</v>
      </c>
      <c r="M17" t="s">
        <v>74</v>
      </c>
      <c r="N17" t="s">
        <v>251</v>
      </c>
      <c r="O17" t="s">
        <v>74</v>
      </c>
      <c r="P17" t="s">
        <v>74</v>
      </c>
      <c r="Q17" t="s">
        <v>74</v>
      </c>
      <c r="R17" t="s">
        <v>74</v>
      </c>
      <c r="S17" t="s">
        <v>74</v>
      </c>
      <c r="T17" t="s">
        <v>74</v>
      </c>
      <c r="U17" t="s">
        <v>74</v>
      </c>
      <c r="V17" t="b">
        <v>1</v>
      </c>
      <c r="W17" s="1" t="s">
        <v>252</v>
      </c>
      <c r="X17" t="s">
        <v>253</v>
      </c>
      <c r="Y17" t="s">
        <v>74</v>
      </c>
      <c r="Z17" t="s">
        <v>254</v>
      </c>
      <c r="AA17" t="s">
        <v>255</v>
      </c>
      <c r="AB17" t="s">
        <v>74</v>
      </c>
      <c r="AC17" t="s">
        <v>74</v>
      </c>
      <c r="AD17" t="s">
        <v>74</v>
      </c>
      <c r="AE17" t="s">
        <v>74</v>
      </c>
      <c r="AF17" t="s">
        <v>74</v>
      </c>
      <c r="AG17" t="s">
        <v>74</v>
      </c>
      <c r="AH17" t="s">
        <v>74</v>
      </c>
      <c r="AI17">
        <v>0</v>
      </c>
      <c r="AJ17">
        <v>0</v>
      </c>
      <c r="AK17" t="s">
        <v>74</v>
      </c>
      <c r="AL17" t="s">
        <v>74</v>
      </c>
      <c r="AM17" t="s">
        <v>74</v>
      </c>
      <c r="AN17" t="s">
        <v>74</v>
      </c>
      <c r="AO17" t="s">
        <v>74</v>
      </c>
      <c r="AP17" t="s">
        <v>74</v>
      </c>
      <c r="AQ17" t="s">
        <v>74</v>
      </c>
      <c r="AR17" t="s">
        <v>74</v>
      </c>
      <c r="AS17" t="s">
        <v>74</v>
      </c>
      <c r="AT17" t="s">
        <v>74</v>
      </c>
      <c r="AU17" t="s">
        <v>256</v>
      </c>
      <c r="AV17">
        <v>2026</v>
      </c>
      <c r="AW17" t="s">
        <v>74</v>
      </c>
      <c r="AX17" t="s">
        <v>74</v>
      </c>
      <c r="AY17" t="s">
        <v>74</v>
      </c>
      <c r="AZ17" t="s">
        <v>74</v>
      </c>
      <c r="BA17" t="s">
        <v>74</v>
      </c>
      <c r="BB17" t="s">
        <v>74</v>
      </c>
      <c r="BC17" t="s">
        <v>74</v>
      </c>
      <c r="BD17" t="s">
        <v>74</v>
      </c>
      <c r="BE17" t="s">
        <v>74</v>
      </c>
      <c r="BF17" t="s">
        <v>257</v>
      </c>
      <c r="BG17" t="str">
        <f>HYPERLINK("http://dx.doi.org/10.1007/s13563-026-00642-x","http://dx.doi.org/10.1007/s13563-026-00642-x")</f>
        <v>http://dx.doi.org/10.1007/s13563-026-00642-x</v>
      </c>
      <c r="BH17" t="s">
        <v>74</v>
      </c>
      <c r="BI17" t="s">
        <v>258</v>
      </c>
      <c r="BJ17" t="s">
        <v>74</v>
      </c>
      <c r="BK17" t="s">
        <v>74</v>
      </c>
      <c r="BL17" t="s">
        <v>74</v>
      </c>
      <c r="BM17" t="s">
        <v>74</v>
      </c>
      <c r="BN17" t="s">
        <v>74</v>
      </c>
      <c r="BO17" t="s">
        <v>74</v>
      </c>
      <c r="BP17" t="s">
        <v>74</v>
      </c>
      <c r="BQ17" t="s">
        <v>74</v>
      </c>
      <c r="BR17" t="s">
        <v>74</v>
      </c>
      <c r="BS17" t="s">
        <v>86</v>
      </c>
      <c r="BT17" t="s">
        <v>259</v>
      </c>
      <c r="BU17" t="str">
        <f>HYPERLINK("https%3A%2F%2Fwww.webofscience.com%2Fwos%2Fwoscc%2Ffull-record%2FWOS:001756713100001","View Full Record in Web of Science")</f>
        <v>View Full Record in Web of Science</v>
      </c>
    </row>
    <row r="18" spans="1:73" ht="153" x14ac:dyDescent="0.2">
      <c r="A18" t="s">
        <v>72</v>
      </c>
      <c r="B18" t="s">
        <v>261</v>
      </c>
      <c r="C18" t="s">
        <v>74</v>
      </c>
      <c r="D18" t="s">
        <v>74</v>
      </c>
      <c r="E18" t="s">
        <v>74</v>
      </c>
      <c r="F18" t="s">
        <v>262</v>
      </c>
      <c r="G18" t="s">
        <v>74</v>
      </c>
      <c r="H18" t="s">
        <v>74</v>
      </c>
      <c r="I18" t="s">
        <v>263</v>
      </c>
      <c r="J18" t="s">
        <v>264</v>
      </c>
      <c r="K18" t="s">
        <v>74</v>
      </c>
      <c r="L18" t="s">
        <v>74</v>
      </c>
      <c r="M18" t="s">
        <v>74</v>
      </c>
      <c r="N18" t="s">
        <v>78</v>
      </c>
      <c r="O18" t="s">
        <v>74</v>
      </c>
      <c r="P18" t="s">
        <v>74</v>
      </c>
      <c r="Q18" t="s">
        <v>74</v>
      </c>
      <c r="R18" t="s">
        <v>74</v>
      </c>
      <c r="S18" t="s">
        <v>74</v>
      </c>
      <c r="T18" t="s">
        <v>74</v>
      </c>
      <c r="U18" t="s">
        <v>74</v>
      </c>
      <c r="V18" t="b">
        <v>1</v>
      </c>
      <c r="W18" s="1" t="s">
        <v>265</v>
      </c>
      <c r="X18" t="s">
        <v>266</v>
      </c>
      <c r="Y18" t="s">
        <v>74</v>
      </c>
      <c r="Z18" t="s">
        <v>267</v>
      </c>
      <c r="AA18" t="s">
        <v>268</v>
      </c>
      <c r="AB18" t="s">
        <v>74</v>
      </c>
      <c r="AC18" t="s">
        <v>74</v>
      </c>
      <c r="AD18" t="s">
        <v>74</v>
      </c>
      <c r="AE18" t="s">
        <v>74</v>
      </c>
      <c r="AF18" t="s">
        <v>74</v>
      </c>
      <c r="AG18" t="s">
        <v>74</v>
      </c>
      <c r="AH18" t="s">
        <v>74</v>
      </c>
      <c r="AI18">
        <v>6</v>
      </c>
      <c r="AJ18">
        <v>7</v>
      </c>
      <c r="AK18" t="s">
        <v>74</v>
      </c>
      <c r="AL18" t="s">
        <v>74</v>
      </c>
      <c r="AM18" t="s">
        <v>74</v>
      </c>
      <c r="AN18" t="s">
        <v>74</v>
      </c>
      <c r="AO18" t="s">
        <v>74</v>
      </c>
      <c r="AP18" t="s">
        <v>74</v>
      </c>
      <c r="AQ18" t="s">
        <v>74</v>
      </c>
      <c r="AR18" t="s">
        <v>74</v>
      </c>
      <c r="AS18" t="s">
        <v>74</v>
      </c>
      <c r="AT18" t="s">
        <v>74</v>
      </c>
      <c r="AU18" t="s">
        <v>269</v>
      </c>
      <c r="AV18">
        <v>2024</v>
      </c>
      <c r="AW18">
        <v>18</v>
      </c>
      <c r="AX18">
        <v>1</v>
      </c>
      <c r="AY18" t="s">
        <v>74</v>
      </c>
      <c r="AZ18" t="s">
        <v>74</v>
      </c>
      <c r="BA18" t="s">
        <v>74</v>
      </c>
      <c r="BB18" t="s">
        <v>74</v>
      </c>
      <c r="BC18">
        <v>339</v>
      </c>
      <c r="BD18">
        <v>350</v>
      </c>
      <c r="BE18" t="s">
        <v>74</v>
      </c>
      <c r="BF18" t="s">
        <v>270</v>
      </c>
      <c r="BG18" t="str">
        <f>HYPERLINK("http://dx.doi.org/10.1109/JSYST.2024.3349398","http://dx.doi.org/10.1109/JSYST.2024.3349398")</f>
        <v>http://dx.doi.org/10.1109/JSYST.2024.3349398</v>
      </c>
      <c r="BH18" t="s">
        <v>74</v>
      </c>
      <c r="BI18" t="s">
        <v>122</v>
      </c>
      <c r="BJ18" t="s">
        <v>74</v>
      </c>
      <c r="BK18" t="s">
        <v>74</v>
      </c>
      <c r="BL18" t="s">
        <v>74</v>
      </c>
      <c r="BM18" t="s">
        <v>74</v>
      </c>
      <c r="BN18" t="s">
        <v>74</v>
      </c>
      <c r="BO18" t="s">
        <v>74</v>
      </c>
      <c r="BP18" t="s">
        <v>74</v>
      </c>
      <c r="BQ18" t="s">
        <v>74</v>
      </c>
      <c r="BR18" t="s">
        <v>74</v>
      </c>
      <c r="BS18" t="s">
        <v>86</v>
      </c>
      <c r="BT18" t="s">
        <v>271</v>
      </c>
      <c r="BU18" t="str">
        <f>HYPERLINK("https%3A%2F%2Fwww.webofscience.com%2Fwos%2Fwoscc%2Ffull-record%2FWOS:001167356000001","View Full Record in Web of Science")</f>
        <v>View Full Record in Web of Science</v>
      </c>
    </row>
    <row r="19" spans="1:73" ht="170" x14ac:dyDescent="0.2">
      <c r="A19" t="s">
        <v>72</v>
      </c>
      <c r="B19" t="s">
        <v>272</v>
      </c>
      <c r="C19" t="s">
        <v>74</v>
      </c>
      <c r="D19" t="s">
        <v>74</v>
      </c>
      <c r="E19" t="s">
        <v>74</v>
      </c>
      <c r="F19" t="s">
        <v>273</v>
      </c>
      <c r="G19" t="s">
        <v>74</v>
      </c>
      <c r="H19" t="s">
        <v>74</v>
      </c>
      <c r="I19" t="s">
        <v>274</v>
      </c>
      <c r="J19" t="s">
        <v>77</v>
      </c>
      <c r="K19" t="s">
        <v>74</v>
      </c>
      <c r="L19" t="s">
        <v>74</v>
      </c>
      <c r="M19" t="s">
        <v>74</v>
      </c>
      <c r="N19" t="s">
        <v>78</v>
      </c>
      <c r="O19" t="s">
        <v>74</v>
      </c>
      <c r="P19" t="s">
        <v>74</v>
      </c>
      <c r="Q19" t="s">
        <v>74</v>
      </c>
      <c r="R19" t="s">
        <v>74</v>
      </c>
      <c r="S19" t="s">
        <v>74</v>
      </c>
      <c r="T19" t="s">
        <v>74</v>
      </c>
      <c r="U19" t="s">
        <v>74</v>
      </c>
      <c r="V19" t="b">
        <v>0</v>
      </c>
      <c r="W19" s="1" t="s">
        <v>275</v>
      </c>
      <c r="X19" t="s">
        <v>276</v>
      </c>
      <c r="Y19" t="s">
        <v>74</v>
      </c>
      <c r="Z19" t="s">
        <v>277</v>
      </c>
      <c r="AA19" t="s">
        <v>278</v>
      </c>
      <c r="AB19" t="s">
        <v>74</v>
      </c>
      <c r="AC19" t="s">
        <v>74</v>
      </c>
      <c r="AD19" t="s">
        <v>74</v>
      </c>
      <c r="AE19" t="s">
        <v>74</v>
      </c>
      <c r="AF19" t="s">
        <v>74</v>
      </c>
      <c r="AG19" t="s">
        <v>74</v>
      </c>
      <c r="AH19" t="s">
        <v>74</v>
      </c>
      <c r="AI19">
        <v>234</v>
      </c>
      <c r="AJ19">
        <v>268</v>
      </c>
      <c r="AK19" t="s">
        <v>74</v>
      </c>
      <c r="AL19" t="s">
        <v>74</v>
      </c>
      <c r="AM19" t="s">
        <v>74</v>
      </c>
      <c r="AN19" t="s">
        <v>74</v>
      </c>
      <c r="AO19" t="s">
        <v>74</v>
      </c>
      <c r="AP19" t="s">
        <v>74</v>
      </c>
      <c r="AQ19" t="s">
        <v>74</v>
      </c>
      <c r="AR19" t="s">
        <v>74</v>
      </c>
      <c r="AS19" t="s">
        <v>74</v>
      </c>
      <c r="AT19" t="s">
        <v>74</v>
      </c>
      <c r="AU19" t="s">
        <v>279</v>
      </c>
      <c r="AV19">
        <v>2020</v>
      </c>
      <c r="AW19">
        <v>156</v>
      </c>
      <c r="AX19" t="s">
        <v>74</v>
      </c>
      <c r="AY19" t="s">
        <v>74</v>
      </c>
      <c r="AZ19" t="s">
        <v>74</v>
      </c>
      <c r="BA19" t="s">
        <v>74</v>
      </c>
      <c r="BB19" t="s">
        <v>74</v>
      </c>
      <c r="BC19" t="s">
        <v>74</v>
      </c>
      <c r="BD19" t="s">
        <v>74</v>
      </c>
      <c r="BE19">
        <v>104743</v>
      </c>
      <c r="BF19" t="s">
        <v>280</v>
      </c>
      <c r="BG19" t="str">
        <f>HYPERLINK("http://dx.doi.org/10.1016/j.resconrec.2020.104743","http://dx.doi.org/10.1016/j.resconrec.2020.104743")</f>
        <v>http://dx.doi.org/10.1016/j.resconrec.2020.104743</v>
      </c>
      <c r="BH19" t="s">
        <v>74</v>
      </c>
      <c r="BI19" t="s">
        <v>74</v>
      </c>
      <c r="BJ19" t="s">
        <v>74</v>
      </c>
      <c r="BK19" t="s">
        <v>74</v>
      </c>
      <c r="BL19" t="s">
        <v>74</v>
      </c>
      <c r="BM19" t="s">
        <v>74</v>
      </c>
      <c r="BN19" t="s">
        <v>74</v>
      </c>
      <c r="BO19" t="s">
        <v>74</v>
      </c>
      <c r="BP19" t="s">
        <v>74</v>
      </c>
      <c r="BQ19" t="s">
        <v>74</v>
      </c>
      <c r="BR19" t="s">
        <v>74</v>
      </c>
      <c r="BS19" t="s">
        <v>86</v>
      </c>
      <c r="BT19" t="s">
        <v>281</v>
      </c>
      <c r="BU19" t="str">
        <f>HYPERLINK("https%3A%2F%2Fwww.webofscience.com%2Fwos%2Fwoscc%2Ffull-record%2FWOS:000540561100019","View Full Record in Web of Science")</f>
        <v>View Full Record in Web of Science</v>
      </c>
    </row>
    <row r="20" spans="1:73" ht="204" x14ac:dyDescent="0.2">
      <c r="A20" t="s">
        <v>72</v>
      </c>
      <c r="B20" t="s">
        <v>282</v>
      </c>
      <c r="C20" t="s">
        <v>74</v>
      </c>
      <c r="D20" t="s">
        <v>74</v>
      </c>
      <c r="E20" t="s">
        <v>74</v>
      </c>
      <c r="F20" t="s">
        <v>283</v>
      </c>
      <c r="G20" t="s">
        <v>74</v>
      </c>
      <c r="H20" t="s">
        <v>74</v>
      </c>
      <c r="I20" t="s">
        <v>284</v>
      </c>
      <c r="J20" t="s">
        <v>103</v>
      </c>
      <c r="K20" t="s">
        <v>74</v>
      </c>
      <c r="L20" t="s">
        <v>74</v>
      </c>
      <c r="M20" t="s">
        <v>74</v>
      </c>
      <c r="N20" t="s">
        <v>78</v>
      </c>
      <c r="O20" t="s">
        <v>74</v>
      </c>
      <c r="P20" t="s">
        <v>74</v>
      </c>
      <c r="Q20" t="s">
        <v>74</v>
      </c>
      <c r="R20" t="s">
        <v>74</v>
      </c>
      <c r="S20" t="s">
        <v>74</v>
      </c>
      <c r="T20" t="s">
        <v>74</v>
      </c>
      <c r="U20" t="s">
        <v>74</v>
      </c>
      <c r="V20" t="b">
        <v>0</v>
      </c>
      <c r="W20" s="1" t="s">
        <v>285</v>
      </c>
      <c r="X20" t="s">
        <v>286</v>
      </c>
      <c r="Y20" t="s">
        <v>74</v>
      </c>
      <c r="Z20" t="s">
        <v>287</v>
      </c>
      <c r="AA20" t="s">
        <v>288</v>
      </c>
      <c r="AB20" t="s">
        <v>74</v>
      </c>
      <c r="AC20" t="s">
        <v>74</v>
      </c>
      <c r="AD20" t="s">
        <v>74</v>
      </c>
      <c r="AE20" t="s">
        <v>74</v>
      </c>
      <c r="AF20" t="s">
        <v>74</v>
      </c>
      <c r="AG20" t="s">
        <v>74</v>
      </c>
      <c r="AH20" t="s">
        <v>74</v>
      </c>
      <c r="AI20">
        <v>77</v>
      </c>
      <c r="AJ20">
        <v>91</v>
      </c>
      <c r="AK20" t="s">
        <v>74</v>
      </c>
      <c r="AL20" t="s">
        <v>74</v>
      </c>
      <c r="AM20" t="s">
        <v>74</v>
      </c>
      <c r="AN20" t="s">
        <v>74</v>
      </c>
      <c r="AO20" t="s">
        <v>74</v>
      </c>
      <c r="AP20" t="s">
        <v>74</v>
      </c>
      <c r="AQ20" t="s">
        <v>74</v>
      </c>
      <c r="AR20" t="s">
        <v>74</v>
      </c>
      <c r="AS20" t="s">
        <v>74</v>
      </c>
      <c r="AT20" t="s">
        <v>74</v>
      </c>
      <c r="AU20" t="s">
        <v>108</v>
      </c>
      <c r="AV20">
        <v>2023</v>
      </c>
      <c r="AW20">
        <v>80</v>
      </c>
      <c r="AX20" t="s">
        <v>74</v>
      </c>
      <c r="AY20" t="s">
        <v>74</v>
      </c>
      <c r="AZ20" t="s">
        <v>74</v>
      </c>
      <c r="BA20" t="s">
        <v>74</v>
      </c>
      <c r="BB20" t="s">
        <v>74</v>
      </c>
      <c r="BC20" t="s">
        <v>74</v>
      </c>
      <c r="BD20" t="s">
        <v>74</v>
      </c>
      <c r="BE20">
        <v>103183</v>
      </c>
      <c r="BF20" t="s">
        <v>289</v>
      </c>
      <c r="BG20" t="str">
        <f>HYPERLINK("http://dx.doi.org/10.1016/j.resourpol.2022.103183","http://dx.doi.org/10.1016/j.resourpol.2022.103183")</f>
        <v>http://dx.doi.org/10.1016/j.resourpol.2022.103183</v>
      </c>
      <c r="BH20" t="s">
        <v>74</v>
      </c>
      <c r="BI20" t="s">
        <v>110</v>
      </c>
      <c r="BJ20" t="s">
        <v>74</v>
      </c>
      <c r="BK20" t="s">
        <v>74</v>
      </c>
      <c r="BL20" t="s">
        <v>74</v>
      </c>
      <c r="BM20" t="s">
        <v>74</v>
      </c>
      <c r="BN20" t="s">
        <v>74</v>
      </c>
      <c r="BO20" t="s">
        <v>74</v>
      </c>
      <c r="BP20" t="s">
        <v>74</v>
      </c>
      <c r="BQ20" t="s">
        <v>74</v>
      </c>
      <c r="BR20" t="s">
        <v>74</v>
      </c>
      <c r="BS20" t="s">
        <v>86</v>
      </c>
      <c r="BT20" t="s">
        <v>290</v>
      </c>
      <c r="BU20" t="str">
        <f>HYPERLINK("https%3A%2F%2Fwww.webofscience.com%2Fwos%2Fwoscc%2Ffull-record%2FWOS:000911291100001","View Full Record in Web of Science")</f>
        <v>View Full Record in Web of Science</v>
      </c>
    </row>
    <row r="21" spans="1:73" ht="102" x14ac:dyDescent="0.2">
      <c r="A21" t="s">
        <v>72</v>
      </c>
      <c r="B21" t="s">
        <v>291</v>
      </c>
      <c r="C21" t="s">
        <v>74</v>
      </c>
      <c r="D21" t="s">
        <v>74</v>
      </c>
      <c r="E21" t="s">
        <v>74</v>
      </c>
      <c r="F21" t="s">
        <v>292</v>
      </c>
      <c r="G21" t="s">
        <v>74</v>
      </c>
      <c r="H21" t="s">
        <v>74</v>
      </c>
      <c r="I21" t="s">
        <v>293</v>
      </c>
      <c r="J21" t="s">
        <v>77</v>
      </c>
      <c r="K21" t="s">
        <v>74</v>
      </c>
      <c r="L21" t="s">
        <v>74</v>
      </c>
      <c r="M21" t="s">
        <v>74</v>
      </c>
      <c r="N21" t="s">
        <v>78</v>
      </c>
      <c r="O21" t="s">
        <v>74</v>
      </c>
      <c r="P21" t="s">
        <v>74</v>
      </c>
      <c r="Q21" t="s">
        <v>74</v>
      </c>
      <c r="R21" t="s">
        <v>74</v>
      </c>
      <c r="S21" t="s">
        <v>74</v>
      </c>
      <c r="T21" t="s">
        <v>74</v>
      </c>
      <c r="U21" t="s">
        <v>74</v>
      </c>
      <c r="V21" t="s">
        <v>3265</v>
      </c>
      <c r="W21" s="1" t="s">
        <v>294</v>
      </c>
      <c r="X21" t="s">
        <v>295</v>
      </c>
      <c r="Y21" t="s">
        <v>74</v>
      </c>
      <c r="Z21" t="s">
        <v>296</v>
      </c>
      <c r="AA21" t="s">
        <v>297</v>
      </c>
      <c r="AB21" t="s">
        <v>74</v>
      </c>
      <c r="AC21" t="s">
        <v>74</v>
      </c>
      <c r="AD21" t="s">
        <v>74</v>
      </c>
      <c r="AE21" t="s">
        <v>74</v>
      </c>
      <c r="AF21" t="s">
        <v>74</v>
      </c>
      <c r="AG21" t="s">
        <v>74</v>
      </c>
      <c r="AH21" t="s">
        <v>74</v>
      </c>
      <c r="AI21">
        <v>29</v>
      </c>
      <c r="AJ21">
        <v>30</v>
      </c>
      <c r="AK21" t="s">
        <v>74</v>
      </c>
      <c r="AL21" t="s">
        <v>74</v>
      </c>
      <c r="AM21" t="s">
        <v>74</v>
      </c>
      <c r="AN21" t="s">
        <v>74</v>
      </c>
      <c r="AO21" t="s">
        <v>74</v>
      </c>
      <c r="AP21" t="s">
        <v>74</v>
      </c>
      <c r="AQ21" t="s">
        <v>74</v>
      </c>
      <c r="AR21" t="s">
        <v>74</v>
      </c>
      <c r="AS21" t="s">
        <v>74</v>
      </c>
      <c r="AT21" t="s">
        <v>74</v>
      </c>
      <c r="AU21" t="s">
        <v>190</v>
      </c>
      <c r="AV21">
        <v>2023</v>
      </c>
      <c r="AW21">
        <v>193</v>
      </c>
      <c r="AX21" t="s">
        <v>74</v>
      </c>
      <c r="AY21" t="s">
        <v>74</v>
      </c>
      <c r="AZ21" t="s">
        <v>74</v>
      </c>
      <c r="BA21" t="s">
        <v>74</v>
      </c>
      <c r="BB21" t="s">
        <v>74</v>
      </c>
      <c r="BC21" t="s">
        <v>74</v>
      </c>
      <c r="BD21" t="s">
        <v>74</v>
      </c>
      <c r="BE21">
        <v>106962</v>
      </c>
      <c r="BF21" t="s">
        <v>298</v>
      </c>
      <c r="BG21" t="str">
        <f>HYPERLINK("http://dx.doi.org/10.1016/j.resconrec.2023.106962","http://dx.doi.org/10.1016/j.resconrec.2023.106962")</f>
        <v>http://dx.doi.org/10.1016/j.resconrec.2023.106962</v>
      </c>
      <c r="BH21" t="s">
        <v>74</v>
      </c>
      <c r="BI21" t="s">
        <v>299</v>
      </c>
      <c r="BJ21" t="s">
        <v>74</v>
      </c>
      <c r="BK21" t="s">
        <v>74</v>
      </c>
      <c r="BL21" t="s">
        <v>74</v>
      </c>
      <c r="BM21" t="s">
        <v>74</v>
      </c>
      <c r="BN21" t="s">
        <v>74</v>
      </c>
      <c r="BO21" t="s">
        <v>74</v>
      </c>
      <c r="BP21" t="s">
        <v>74</v>
      </c>
      <c r="BQ21" t="s">
        <v>74</v>
      </c>
      <c r="BR21" t="s">
        <v>74</v>
      </c>
      <c r="BS21" t="s">
        <v>86</v>
      </c>
      <c r="BT21" t="s">
        <v>300</v>
      </c>
      <c r="BU21" t="str">
        <f>HYPERLINK("https%3A%2F%2Fwww.webofscience.com%2Fwos%2Fwoscc%2Ffull-record%2FWOS:001042050000001","View Full Record in Web of Science")</f>
        <v>View Full Record in Web of Science</v>
      </c>
    </row>
    <row r="22" spans="1:73" ht="204" x14ac:dyDescent="0.2">
      <c r="A22" t="s">
        <v>72</v>
      </c>
      <c r="B22" t="s">
        <v>301</v>
      </c>
      <c r="C22" t="s">
        <v>74</v>
      </c>
      <c r="D22" t="s">
        <v>74</v>
      </c>
      <c r="E22" t="s">
        <v>74</v>
      </c>
      <c r="F22" t="s">
        <v>302</v>
      </c>
      <c r="G22" t="s">
        <v>74</v>
      </c>
      <c r="H22" t="s">
        <v>74</v>
      </c>
      <c r="I22" t="s">
        <v>303</v>
      </c>
      <c r="J22" t="s">
        <v>77</v>
      </c>
      <c r="K22" t="s">
        <v>74</v>
      </c>
      <c r="L22" t="s">
        <v>74</v>
      </c>
      <c r="M22" t="s">
        <v>74</v>
      </c>
      <c r="N22" t="s">
        <v>78</v>
      </c>
      <c r="O22" t="s">
        <v>74</v>
      </c>
      <c r="P22" t="s">
        <v>74</v>
      </c>
      <c r="Q22" t="s">
        <v>74</v>
      </c>
      <c r="R22" t="s">
        <v>74</v>
      </c>
      <c r="S22" t="s">
        <v>74</v>
      </c>
      <c r="T22" t="s">
        <v>74</v>
      </c>
      <c r="U22" t="s">
        <v>74</v>
      </c>
      <c r="V22" t="b">
        <v>1</v>
      </c>
      <c r="W22" s="1" t="s">
        <v>304</v>
      </c>
      <c r="X22" t="s">
        <v>305</v>
      </c>
      <c r="Y22" t="s">
        <v>74</v>
      </c>
      <c r="Z22" t="s">
        <v>306</v>
      </c>
      <c r="AA22" t="s">
        <v>307</v>
      </c>
      <c r="AB22" t="s">
        <v>74</v>
      </c>
      <c r="AC22" t="s">
        <v>74</v>
      </c>
      <c r="AD22" t="s">
        <v>74</v>
      </c>
      <c r="AE22" t="s">
        <v>74</v>
      </c>
      <c r="AF22" t="s">
        <v>74</v>
      </c>
      <c r="AG22" t="s">
        <v>74</v>
      </c>
      <c r="AH22" t="s">
        <v>74</v>
      </c>
      <c r="AI22">
        <v>116</v>
      </c>
      <c r="AJ22">
        <v>135</v>
      </c>
      <c r="AK22" t="s">
        <v>74</v>
      </c>
      <c r="AL22" t="s">
        <v>74</v>
      </c>
      <c r="AM22" t="s">
        <v>74</v>
      </c>
      <c r="AN22" t="s">
        <v>74</v>
      </c>
      <c r="AO22" t="s">
        <v>74</v>
      </c>
      <c r="AP22" t="s">
        <v>74</v>
      </c>
      <c r="AQ22" t="s">
        <v>74</v>
      </c>
      <c r="AR22" t="s">
        <v>74</v>
      </c>
      <c r="AS22" t="s">
        <v>74</v>
      </c>
      <c r="AT22" t="s">
        <v>74</v>
      </c>
      <c r="AU22" t="s">
        <v>83</v>
      </c>
      <c r="AV22">
        <v>2021</v>
      </c>
      <c r="AW22">
        <v>167</v>
      </c>
      <c r="AX22" t="s">
        <v>74</v>
      </c>
      <c r="AY22" t="s">
        <v>74</v>
      </c>
      <c r="AZ22" t="s">
        <v>74</v>
      </c>
      <c r="BA22" t="s">
        <v>74</v>
      </c>
      <c r="BB22" t="s">
        <v>74</v>
      </c>
      <c r="BC22" t="s">
        <v>74</v>
      </c>
      <c r="BD22" t="s">
        <v>74</v>
      </c>
      <c r="BE22">
        <v>105248</v>
      </c>
      <c r="BF22" t="s">
        <v>308</v>
      </c>
      <c r="BG22" t="str">
        <f>HYPERLINK("http://dx.doi.org/10.1016/j.resconrec.2020.105248","http://dx.doi.org/10.1016/j.resconrec.2020.105248")</f>
        <v>http://dx.doi.org/10.1016/j.resconrec.2020.105248</v>
      </c>
      <c r="BH22" t="s">
        <v>74</v>
      </c>
      <c r="BI22" t="s">
        <v>309</v>
      </c>
      <c r="BJ22" t="s">
        <v>74</v>
      </c>
      <c r="BK22" t="s">
        <v>74</v>
      </c>
      <c r="BL22" t="s">
        <v>74</v>
      </c>
      <c r="BM22" t="s">
        <v>74</v>
      </c>
      <c r="BN22" t="s">
        <v>74</v>
      </c>
      <c r="BO22" t="s">
        <v>74</v>
      </c>
      <c r="BP22" t="s">
        <v>74</v>
      </c>
      <c r="BQ22" t="s">
        <v>74</v>
      </c>
      <c r="BR22" t="s">
        <v>74</v>
      </c>
      <c r="BS22" t="s">
        <v>86</v>
      </c>
      <c r="BT22" t="s">
        <v>310</v>
      </c>
      <c r="BU22" t="str">
        <f>HYPERLINK("https%3A%2F%2Fwww.webofscience.com%2Fwos%2Fwoscc%2Ffull-record%2FWOS:000652020200012","View Full Record in Web of Science")</f>
        <v>View Full Record in Web of Science</v>
      </c>
    </row>
    <row r="23" spans="1:73" ht="85" x14ac:dyDescent="0.2">
      <c r="A23" t="s">
        <v>72</v>
      </c>
      <c r="B23" t="s">
        <v>311</v>
      </c>
      <c r="C23" t="s">
        <v>74</v>
      </c>
      <c r="D23" t="s">
        <v>74</v>
      </c>
      <c r="E23" t="s">
        <v>74</v>
      </c>
      <c r="F23" t="s">
        <v>312</v>
      </c>
      <c r="G23" t="s">
        <v>74</v>
      </c>
      <c r="H23" t="s">
        <v>74</v>
      </c>
      <c r="I23" t="s">
        <v>313</v>
      </c>
      <c r="J23" t="s">
        <v>314</v>
      </c>
      <c r="K23" t="s">
        <v>74</v>
      </c>
      <c r="L23" t="s">
        <v>74</v>
      </c>
      <c r="M23" t="s">
        <v>74</v>
      </c>
      <c r="N23" t="s">
        <v>251</v>
      </c>
      <c r="O23" t="s">
        <v>74</v>
      </c>
      <c r="P23" t="s">
        <v>74</v>
      </c>
      <c r="Q23" t="s">
        <v>74</v>
      </c>
      <c r="R23" t="s">
        <v>74</v>
      </c>
      <c r="S23" t="s">
        <v>74</v>
      </c>
      <c r="T23" t="s">
        <v>74</v>
      </c>
      <c r="U23" t="s">
        <v>74</v>
      </c>
      <c r="V23" t="b">
        <v>1</v>
      </c>
      <c r="W23" s="1" t="s">
        <v>315</v>
      </c>
      <c r="X23" t="s">
        <v>316</v>
      </c>
      <c r="Y23" t="s">
        <v>74</v>
      </c>
      <c r="Z23" t="s">
        <v>317</v>
      </c>
      <c r="AA23" t="s">
        <v>318</v>
      </c>
      <c r="AB23" t="s">
        <v>74</v>
      </c>
      <c r="AC23" t="s">
        <v>74</v>
      </c>
      <c r="AD23" t="s">
        <v>74</v>
      </c>
      <c r="AE23" t="s">
        <v>74</v>
      </c>
      <c r="AF23" t="s">
        <v>74</v>
      </c>
      <c r="AG23" t="s">
        <v>74</v>
      </c>
      <c r="AH23" t="s">
        <v>74</v>
      </c>
      <c r="AI23">
        <v>0</v>
      </c>
      <c r="AJ23">
        <v>0</v>
      </c>
      <c r="AK23" t="s">
        <v>74</v>
      </c>
      <c r="AL23" t="s">
        <v>74</v>
      </c>
      <c r="AM23" t="s">
        <v>74</v>
      </c>
      <c r="AN23" t="s">
        <v>74</v>
      </c>
      <c r="AO23" t="s">
        <v>74</v>
      </c>
      <c r="AP23" t="s">
        <v>74</v>
      </c>
      <c r="AQ23" t="s">
        <v>74</v>
      </c>
      <c r="AR23" t="s">
        <v>74</v>
      </c>
      <c r="AS23" t="s">
        <v>74</v>
      </c>
      <c r="AT23" t="s">
        <v>74</v>
      </c>
      <c r="AU23" t="s">
        <v>319</v>
      </c>
      <c r="AV23">
        <v>2025</v>
      </c>
      <c r="AW23" t="s">
        <v>74</v>
      </c>
      <c r="AX23" t="s">
        <v>74</v>
      </c>
      <c r="AY23" t="s">
        <v>74</v>
      </c>
      <c r="AZ23" t="s">
        <v>74</v>
      </c>
      <c r="BA23" t="s">
        <v>74</v>
      </c>
      <c r="BB23" t="s">
        <v>74</v>
      </c>
      <c r="BC23" t="s">
        <v>74</v>
      </c>
      <c r="BD23" t="s">
        <v>74</v>
      </c>
      <c r="BE23" t="s">
        <v>74</v>
      </c>
      <c r="BF23" t="s">
        <v>320</v>
      </c>
      <c r="BG23" t="str">
        <f>HYPERLINK("http://dx.doi.org/10.1080/13602381.2025.2459875","http://dx.doi.org/10.1080/13602381.2025.2459875")</f>
        <v>http://dx.doi.org/10.1080/13602381.2025.2459875</v>
      </c>
      <c r="BH23" t="s">
        <v>74</v>
      </c>
      <c r="BI23" t="s">
        <v>85</v>
      </c>
      <c r="BJ23" t="s">
        <v>74</v>
      </c>
      <c r="BK23" t="s">
        <v>74</v>
      </c>
      <c r="BL23" t="s">
        <v>74</v>
      </c>
      <c r="BM23" t="s">
        <v>74</v>
      </c>
      <c r="BN23" t="s">
        <v>74</v>
      </c>
      <c r="BO23" t="s">
        <v>74</v>
      </c>
      <c r="BP23" t="s">
        <v>74</v>
      </c>
      <c r="BQ23" t="s">
        <v>74</v>
      </c>
      <c r="BR23" t="s">
        <v>74</v>
      </c>
      <c r="BS23" t="s">
        <v>86</v>
      </c>
      <c r="BT23" t="s">
        <v>321</v>
      </c>
      <c r="BU23" t="str">
        <f>HYPERLINK("https%3A%2F%2Fwww.webofscience.com%2Fwos%2Fwoscc%2Ffull-record%2FWOS:001426657700001","View Full Record in Web of Science")</f>
        <v>View Full Record in Web of Science</v>
      </c>
    </row>
    <row r="24" spans="1:73" ht="119" x14ac:dyDescent="0.2">
      <c r="A24" t="s">
        <v>72</v>
      </c>
      <c r="B24" t="s">
        <v>322</v>
      </c>
      <c r="C24" t="s">
        <v>74</v>
      </c>
      <c r="D24" t="s">
        <v>74</v>
      </c>
      <c r="E24" t="s">
        <v>74</v>
      </c>
      <c r="F24" t="s">
        <v>323</v>
      </c>
      <c r="G24" t="s">
        <v>74</v>
      </c>
      <c r="H24" t="s">
        <v>74</v>
      </c>
      <c r="I24" t="s">
        <v>324</v>
      </c>
      <c r="J24" t="s">
        <v>325</v>
      </c>
      <c r="K24" t="s">
        <v>74</v>
      </c>
      <c r="L24" t="s">
        <v>74</v>
      </c>
      <c r="M24" t="s">
        <v>74</v>
      </c>
      <c r="N24" t="s">
        <v>78</v>
      </c>
      <c r="O24" t="s">
        <v>74</v>
      </c>
      <c r="P24" t="s">
        <v>74</v>
      </c>
      <c r="Q24" t="s">
        <v>74</v>
      </c>
      <c r="R24" t="s">
        <v>74</v>
      </c>
      <c r="S24" t="s">
        <v>74</v>
      </c>
      <c r="T24" t="s">
        <v>74</v>
      </c>
      <c r="U24" t="s">
        <v>74</v>
      </c>
      <c r="V24" t="b">
        <v>0</v>
      </c>
      <c r="W24" s="1" t="s">
        <v>326</v>
      </c>
      <c r="X24" t="s">
        <v>327</v>
      </c>
      <c r="Y24" t="s">
        <v>74</v>
      </c>
      <c r="Z24" t="s">
        <v>328</v>
      </c>
      <c r="AA24" t="s">
        <v>329</v>
      </c>
      <c r="AB24" t="s">
        <v>74</v>
      </c>
      <c r="AC24" t="s">
        <v>74</v>
      </c>
      <c r="AD24" t="s">
        <v>74</v>
      </c>
      <c r="AE24" t="s">
        <v>74</v>
      </c>
      <c r="AF24" t="s">
        <v>74</v>
      </c>
      <c r="AG24" t="s">
        <v>74</v>
      </c>
      <c r="AH24" t="s">
        <v>74</v>
      </c>
      <c r="AI24">
        <v>1</v>
      </c>
      <c r="AJ24">
        <v>1</v>
      </c>
      <c r="AK24" t="s">
        <v>74</v>
      </c>
      <c r="AL24" t="s">
        <v>74</v>
      </c>
      <c r="AM24" t="s">
        <v>74</v>
      </c>
      <c r="AN24" t="s">
        <v>74</v>
      </c>
      <c r="AO24" t="s">
        <v>74</v>
      </c>
      <c r="AP24" t="s">
        <v>74</v>
      </c>
      <c r="AQ24" t="s">
        <v>74</v>
      </c>
      <c r="AR24" t="s">
        <v>74</v>
      </c>
      <c r="AS24" t="s">
        <v>74</v>
      </c>
      <c r="AT24" t="s">
        <v>74</v>
      </c>
      <c r="AU24" t="s">
        <v>83</v>
      </c>
      <c r="AV24">
        <v>2023</v>
      </c>
      <c r="AW24">
        <v>47</v>
      </c>
      <c r="AX24">
        <v>2</v>
      </c>
      <c r="AY24" t="s">
        <v>74</v>
      </c>
      <c r="AZ24" t="s">
        <v>74</v>
      </c>
      <c r="BA24" t="s">
        <v>74</v>
      </c>
      <c r="BB24" t="s">
        <v>74</v>
      </c>
      <c r="BC24">
        <v>71</v>
      </c>
      <c r="BD24">
        <v>76</v>
      </c>
      <c r="BE24" t="s">
        <v>330</v>
      </c>
      <c r="BF24" t="s">
        <v>331</v>
      </c>
      <c r="BG24" t="str">
        <f>HYPERLINK("http://dx.doi.org/10.1192/bjb.2021.126","http://dx.doi.org/10.1192/bjb.2021.126")</f>
        <v>http://dx.doi.org/10.1192/bjb.2021.126</v>
      </c>
      <c r="BH24" t="s">
        <v>74</v>
      </c>
      <c r="BI24" t="s">
        <v>332</v>
      </c>
      <c r="BJ24" t="s">
        <v>74</v>
      </c>
      <c r="BK24" t="s">
        <v>74</v>
      </c>
      <c r="BL24" t="s">
        <v>74</v>
      </c>
      <c r="BM24" t="s">
        <v>74</v>
      </c>
      <c r="BN24" t="s">
        <v>74</v>
      </c>
      <c r="BO24" t="s">
        <v>74</v>
      </c>
      <c r="BP24" t="s">
        <v>74</v>
      </c>
      <c r="BQ24" t="s">
        <v>74</v>
      </c>
      <c r="BR24" t="s">
        <v>74</v>
      </c>
      <c r="BS24" t="s">
        <v>86</v>
      </c>
      <c r="BT24" t="s">
        <v>333</v>
      </c>
      <c r="BU24" t="str">
        <f>HYPERLINK("https%3A%2F%2Fwww.webofscience.com%2Fwos%2Fwoscc%2Ffull-record%2FWOS:000757688100001","View Full Record in Web of Science")</f>
        <v>View Full Record in Web of Science</v>
      </c>
    </row>
    <row r="25" spans="1:73" ht="102" x14ac:dyDescent="0.2">
      <c r="A25" t="s">
        <v>72</v>
      </c>
      <c r="B25" t="s">
        <v>334</v>
      </c>
      <c r="C25" t="s">
        <v>74</v>
      </c>
      <c r="D25" t="s">
        <v>74</v>
      </c>
      <c r="E25" t="s">
        <v>74</v>
      </c>
      <c r="F25" t="s">
        <v>334</v>
      </c>
      <c r="G25" t="s">
        <v>74</v>
      </c>
      <c r="H25" t="s">
        <v>74</v>
      </c>
      <c r="I25" t="s">
        <v>335</v>
      </c>
      <c r="J25" t="s">
        <v>336</v>
      </c>
      <c r="K25" t="s">
        <v>74</v>
      </c>
      <c r="L25" t="s">
        <v>74</v>
      </c>
      <c r="M25" t="s">
        <v>74</v>
      </c>
      <c r="N25" t="s">
        <v>337</v>
      </c>
      <c r="O25" t="s">
        <v>338</v>
      </c>
      <c r="P25" t="s">
        <v>339</v>
      </c>
      <c r="Q25" t="s">
        <v>340</v>
      </c>
      <c r="R25" t="s">
        <v>74</v>
      </c>
      <c r="S25" t="s">
        <v>74</v>
      </c>
      <c r="T25" t="s">
        <v>74</v>
      </c>
      <c r="U25" t="s">
        <v>74</v>
      </c>
      <c r="V25" t="b">
        <v>0</v>
      </c>
      <c r="W25" s="1" t="s">
        <v>341</v>
      </c>
      <c r="X25" t="s">
        <v>342</v>
      </c>
      <c r="Y25" t="s">
        <v>74</v>
      </c>
      <c r="Z25" t="s">
        <v>343</v>
      </c>
      <c r="AA25" t="s">
        <v>74</v>
      </c>
      <c r="AB25" t="s">
        <v>74</v>
      </c>
      <c r="AC25" t="s">
        <v>74</v>
      </c>
      <c r="AD25" t="s">
        <v>74</v>
      </c>
      <c r="AE25" t="s">
        <v>74</v>
      </c>
      <c r="AF25" t="s">
        <v>74</v>
      </c>
      <c r="AG25" t="s">
        <v>74</v>
      </c>
      <c r="AH25" t="s">
        <v>74</v>
      </c>
      <c r="AI25">
        <v>18</v>
      </c>
      <c r="AJ25">
        <v>20</v>
      </c>
      <c r="AK25" t="s">
        <v>74</v>
      </c>
      <c r="AL25" t="s">
        <v>74</v>
      </c>
      <c r="AM25" t="s">
        <v>74</v>
      </c>
      <c r="AN25" t="s">
        <v>74</v>
      </c>
      <c r="AO25" t="s">
        <v>74</v>
      </c>
      <c r="AP25" t="s">
        <v>74</v>
      </c>
      <c r="AQ25" t="s">
        <v>74</v>
      </c>
      <c r="AR25" t="s">
        <v>74</v>
      </c>
      <c r="AS25" t="s">
        <v>74</v>
      </c>
      <c r="AT25" t="s">
        <v>74</v>
      </c>
      <c r="AU25" t="s">
        <v>179</v>
      </c>
      <c r="AV25">
        <v>2002</v>
      </c>
      <c r="AW25">
        <v>307</v>
      </c>
      <c r="AX25" t="s">
        <v>74</v>
      </c>
      <c r="AY25" t="s">
        <v>201</v>
      </c>
      <c r="AZ25" t="s">
        <v>74</v>
      </c>
      <c r="BA25" t="s">
        <v>74</v>
      </c>
      <c r="BB25" t="s">
        <v>74</v>
      </c>
      <c r="BC25">
        <v>1664</v>
      </c>
      <c r="BD25">
        <v>1669</v>
      </c>
      <c r="BE25" t="s">
        <v>344</v>
      </c>
      <c r="BF25" t="s">
        <v>74</v>
      </c>
      <c r="BG25" t="s">
        <v>74</v>
      </c>
      <c r="BH25" t="s">
        <v>74</v>
      </c>
      <c r="BI25" t="s">
        <v>74</v>
      </c>
      <c r="BJ25" t="s">
        <v>74</v>
      </c>
      <c r="BK25" t="s">
        <v>74</v>
      </c>
      <c r="BL25" t="s">
        <v>74</v>
      </c>
      <c r="BM25" t="s">
        <v>74</v>
      </c>
      <c r="BN25" t="s">
        <v>74</v>
      </c>
      <c r="BO25" t="s">
        <v>74</v>
      </c>
      <c r="BP25" t="s">
        <v>74</v>
      </c>
      <c r="BQ25" t="s">
        <v>74</v>
      </c>
      <c r="BR25" t="s">
        <v>74</v>
      </c>
      <c r="BS25" t="s">
        <v>86</v>
      </c>
      <c r="BT25" t="s">
        <v>345</v>
      </c>
      <c r="BU25" t="str">
        <f>HYPERLINK("https%3A%2F%2Fwww.webofscience.com%2Fwos%2Fwoscc%2Ffull-record%2FWOS:000180647300155","View Full Record in Web of Science")</f>
        <v>View Full Record in Web of Science</v>
      </c>
    </row>
    <row r="26" spans="1:73" ht="119" x14ac:dyDescent="0.2">
      <c r="A26" t="s">
        <v>72</v>
      </c>
      <c r="B26" t="s">
        <v>346</v>
      </c>
      <c r="C26" t="s">
        <v>74</v>
      </c>
      <c r="D26" t="s">
        <v>74</v>
      </c>
      <c r="E26" t="s">
        <v>74</v>
      </c>
      <c r="F26" t="s">
        <v>347</v>
      </c>
      <c r="G26" t="s">
        <v>74</v>
      </c>
      <c r="H26" t="s">
        <v>74</v>
      </c>
      <c r="I26" t="s">
        <v>348</v>
      </c>
      <c r="J26" t="s">
        <v>77</v>
      </c>
      <c r="K26" t="s">
        <v>74</v>
      </c>
      <c r="L26" t="s">
        <v>74</v>
      </c>
      <c r="M26" t="s">
        <v>74</v>
      </c>
      <c r="N26" t="s">
        <v>78</v>
      </c>
      <c r="O26" t="s">
        <v>74</v>
      </c>
      <c r="P26" t="s">
        <v>74</v>
      </c>
      <c r="Q26" t="s">
        <v>74</v>
      </c>
      <c r="R26" t="s">
        <v>74</v>
      </c>
      <c r="S26" t="s">
        <v>74</v>
      </c>
      <c r="T26" t="s">
        <v>74</v>
      </c>
      <c r="U26" t="s">
        <v>74</v>
      </c>
      <c r="V26" t="b">
        <v>1</v>
      </c>
      <c r="W26" s="1" t="s">
        <v>349</v>
      </c>
      <c r="X26" t="s">
        <v>350</v>
      </c>
      <c r="Y26" t="s">
        <v>74</v>
      </c>
      <c r="Z26" t="s">
        <v>351</v>
      </c>
      <c r="AA26" t="s">
        <v>352</v>
      </c>
      <c r="AB26" t="s">
        <v>74</v>
      </c>
      <c r="AC26" t="s">
        <v>74</v>
      </c>
      <c r="AD26" t="s">
        <v>74</v>
      </c>
      <c r="AE26" t="s">
        <v>74</v>
      </c>
      <c r="AF26" t="s">
        <v>74</v>
      </c>
      <c r="AG26" t="s">
        <v>74</v>
      </c>
      <c r="AH26" t="s">
        <v>74</v>
      </c>
      <c r="AI26">
        <v>13</v>
      </c>
      <c r="AJ26">
        <v>13</v>
      </c>
      <c r="AK26" t="s">
        <v>74</v>
      </c>
      <c r="AL26" t="s">
        <v>74</v>
      </c>
      <c r="AM26" t="s">
        <v>74</v>
      </c>
      <c r="AN26" t="s">
        <v>74</v>
      </c>
      <c r="AO26" t="s">
        <v>74</v>
      </c>
      <c r="AP26" t="s">
        <v>74</v>
      </c>
      <c r="AQ26" t="s">
        <v>74</v>
      </c>
      <c r="AR26" t="s">
        <v>74</v>
      </c>
      <c r="AS26" t="s">
        <v>74</v>
      </c>
      <c r="AT26" t="s">
        <v>74</v>
      </c>
      <c r="AU26" t="s">
        <v>279</v>
      </c>
      <c r="AV26">
        <v>2025</v>
      </c>
      <c r="AW26">
        <v>217</v>
      </c>
      <c r="AX26" t="s">
        <v>74</v>
      </c>
      <c r="AY26" t="s">
        <v>74</v>
      </c>
      <c r="AZ26" t="s">
        <v>74</v>
      </c>
      <c r="BA26" t="s">
        <v>74</v>
      </c>
      <c r="BB26" t="s">
        <v>74</v>
      </c>
      <c r="BC26" t="s">
        <v>74</v>
      </c>
      <c r="BD26" t="s">
        <v>74</v>
      </c>
      <c r="BE26">
        <v>108189</v>
      </c>
      <c r="BF26" t="s">
        <v>353</v>
      </c>
      <c r="BG26" t="str">
        <f>HYPERLINK("http://dx.doi.org/10.1016/j.resconrec.2025.108189","http://dx.doi.org/10.1016/j.resconrec.2025.108189")</f>
        <v>http://dx.doi.org/10.1016/j.resconrec.2025.108189</v>
      </c>
      <c r="BH26" t="s">
        <v>74</v>
      </c>
      <c r="BI26" t="s">
        <v>85</v>
      </c>
      <c r="BJ26" t="s">
        <v>74</v>
      </c>
      <c r="BK26" t="s">
        <v>74</v>
      </c>
      <c r="BL26" t="s">
        <v>74</v>
      </c>
      <c r="BM26" t="s">
        <v>74</v>
      </c>
      <c r="BN26" t="s">
        <v>74</v>
      </c>
      <c r="BO26" t="s">
        <v>74</v>
      </c>
      <c r="BP26" t="s">
        <v>74</v>
      </c>
      <c r="BQ26" t="s">
        <v>74</v>
      </c>
      <c r="BR26" t="s">
        <v>74</v>
      </c>
      <c r="BS26" t="s">
        <v>86</v>
      </c>
      <c r="BT26" t="s">
        <v>354</v>
      </c>
      <c r="BU26" t="str">
        <f>HYPERLINK("https%3A%2F%2Fwww.webofscience.com%2Fwos%2Fwoscc%2Ffull-record%2FWOS:001431264300001","View Full Record in Web of Science")</f>
        <v>View Full Record in Web of Science</v>
      </c>
    </row>
    <row r="27" spans="1:73" ht="136" x14ac:dyDescent="0.2">
      <c r="A27" t="s">
        <v>72</v>
      </c>
      <c r="B27" t="s">
        <v>355</v>
      </c>
      <c r="C27" t="s">
        <v>74</v>
      </c>
      <c r="D27" t="s">
        <v>74</v>
      </c>
      <c r="E27" t="s">
        <v>74</v>
      </c>
      <c r="F27" t="s">
        <v>356</v>
      </c>
      <c r="G27" t="s">
        <v>74</v>
      </c>
      <c r="H27" t="s">
        <v>74</v>
      </c>
      <c r="I27" t="s">
        <v>357</v>
      </c>
      <c r="J27" t="s">
        <v>139</v>
      </c>
      <c r="K27" t="s">
        <v>74</v>
      </c>
      <c r="L27" t="s">
        <v>74</v>
      </c>
      <c r="M27" t="s">
        <v>74</v>
      </c>
      <c r="N27" t="s">
        <v>78</v>
      </c>
      <c r="O27" t="s">
        <v>74</v>
      </c>
      <c r="P27" t="s">
        <v>74</v>
      </c>
      <c r="Q27" t="s">
        <v>74</v>
      </c>
      <c r="R27" t="s">
        <v>74</v>
      </c>
      <c r="S27" t="s">
        <v>74</v>
      </c>
      <c r="T27" t="s">
        <v>74</v>
      </c>
      <c r="U27" t="s">
        <v>74</v>
      </c>
      <c r="V27" t="b">
        <v>1</v>
      </c>
      <c r="W27" s="1" t="s">
        <v>358</v>
      </c>
      <c r="X27" t="s">
        <v>359</v>
      </c>
      <c r="Y27" t="s">
        <v>74</v>
      </c>
      <c r="Z27" t="s">
        <v>360</v>
      </c>
      <c r="AA27" t="s">
        <v>361</v>
      </c>
      <c r="AB27" t="s">
        <v>74</v>
      </c>
      <c r="AC27" t="s">
        <v>74</v>
      </c>
      <c r="AD27" t="s">
        <v>74</v>
      </c>
      <c r="AE27" t="s">
        <v>74</v>
      </c>
      <c r="AF27" t="s">
        <v>74</v>
      </c>
      <c r="AG27" t="s">
        <v>74</v>
      </c>
      <c r="AH27" t="s">
        <v>74</v>
      </c>
      <c r="AI27">
        <v>49</v>
      </c>
      <c r="AJ27">
        <v>58</v>
      </c>
      <c r="AK27" t="s">
        <v>74</v>
      </c>
      <c r="AL27" t="s">
        <v>74</v>
      </c>
      <c r="AM27" t="s">
        <v>74</v>
      </c>
      <c r="AN27" t="s">
        <v>74</v>
      </c>
      <c r="AO27" t="s">
        <v>74</v>
      </c>
      <c r="AP27" t="s">
        <v>74</v>
      </c>
      <c r="AQ27" t="s">
        <v>74</v>
      </c>
      <c r="AR27" t="s">
        <v>74</v>
      </c>
      <c r="AS27" t="s">
        <v>74</v>
      </c>
      <c r="AT27" t="s">
        <v>74</v>
      </c>
      <c r="AU27" t="s">
        <v>362</v>
      </c>
      <c r="AV27">
        <v>2019</v>
      </c>
      <c r="AW27">
        <v>215</v>
      </c>
      <c r="AX27" t="s">
        <v>74</v>
      </c>
      <c r="AY27" t="s">
        <v>74</v>
      </c>
      <c r="AZ27" t="s">
        <v>74</v>
      </c>
      <c r="BA27" t="s">
        <v>74</v>
      </c>
      <c r="BB27" t="s">
        <v>74</v>
      </c>
      <c r="BC27">
        <v>217</v>
      </c>
      <c r="BD27">
        <v>225</v>
      </c>
      <c r="BE27" t="s">
        <v>74</v>
      </c>
      <c r="BF27" t="s">
        <v>363</v>
      </c>
      <c r="BG27" t="str">
        <f>HYPERLINK("http://dx.doi.org/10.1016/j.jclepro.2019.01.064","http://dx.doi.org/10.1016/j.jclepro.2019.01.064")</f>
        <v>http://dx.doi.org/10.1016/j.jclepro.2019.01.064</v>
      </c>
      <c r="BH27" t="s">
        <v>74</v>
      </c>
      <c r="BI27" t="s">
        <v>74</v>
      </c>
      <c r="BJ27" t="s">
        <v>74</v>
      </c>
      <c r="BK27" t="s">
        <v>74</v>
      </c>
      <c r="BL27" t="s">
        <v>74</v>
      </c>
      <c r="BM27" t="s">
        <v>74</v>
      </c>
      <c r="BN27" t="s">
        <v>74</v>
      </c>
      <c r="BO27" t="s">
        <v>74</v>
      </c>
      <c r="BP27" t="s">
        <v>74</v>
      </c>
      <c r="BQ27" t="s">
        <v>74</v>
      </c>
      <c r="BR27" t="s">
        <v>74</v>
      </c>
      <c r="BS27" t="s">
        <v>86</v>
      </c>
      <c r="BT27" t="s">
        <v>364</v>
      </c>
      <c r="BU27" t="str">
        <f>HYPERLINK("https%3A%2F%2Fwww.webofscience.com%2Fwos%2Fwoscc%2Ffull-record%2FWOS:000459358300018","View Full Record in Web of Science")</f>
        <v>View Full Record in Web of Science</v>
      </c>
    </row>
    <row r="28" spans="1:73" ht="221" x14ac:dyDescent="0.2">
      <c r="A28" t="s">
        <v>72</v>
      </c>
      <c r="B28" t="s">
        <v>365</v>
      </c>
      <c r="C28" t="s">
        <v>74</v>
      </c>
      <c r="D28" t="s">
        <v>74</v>
      </c>
      <c r="E28" t="s">
        <v>74</v>
      </c>
      <c r="F28" t="s">
        <v>366</v>
      </c>
      <c r="G28" t="s">
        <v>74</v>
      </c>
      <c r="H28" t="s">
        <v>74</v>
      </c>
      <c r="I28" t="s">
        <v>367</v>
      </c>
      <c r="J28" t="s">
        <v>103</v>
      </c>
      <c r="K28" t="s">
        <v>74</v>
      </c>
      <c r="L28" t="s">
        <v>74</v>
      </c>
      <c r="M28" t="s">
        <v>74</v>
      </c>
      <c r="N28" t="s">
        <v>78</v>
      </c>
      <c r="O28" t="s">
        <v>74</v>
      </c>
      <c r="P28" t="s">
        <v>74</v>
      </c>
      <c r="Q28" t="s">
        <v>74</v>
      </c>
      <c r="R28" t="s">
        <v>74</v>
      </c>
      <c r="S28" t="s">
        <v>74</v>
      </c>
      <c r="T28" t="s">
        <v>74</v>
      </c>
      <c r="U28" t="s">
        <v>74</v>
      </c>
      <c r="V28" t="b">
        <v>1</v>
      </c>
      <c r="W28" s="1" t="s">
        <v>368</v>
      </c>
      <c r="X28" t="s">
        <v>369</v>
      </c>
      <c r="Y28" t="s">
        <v>74</v>
      </c>
      <c r="Z28" t="s">
        <v>370</v>
      </c>
      <c r="AA28" t="s">
        <v>371</v>
      </c>
      <c r="AB28" t="s">
        <v>74</v>
      </c>
      <c r="AC28" t="s">
        <v>74</v>
      </c>
      <c r="AD28" t="s">
        <v>74</v>
      </c>
      <c r="AE28" t="s">
        <v>74</v>
      </c>
      <c r="AF28" t="s">
        <v>74</v>
      </c>
      <c r="AG28" t="s">
        <v>74</v>
      </c>
      <c r="AH28" t="s">
        <v>74</v>
      </c>
      <c r="AI28">
        <v>74</v>
      </c>
      <c r="AJ28">
        <v>92</v>
      </c>
      <c r="AK28" t="s">
        <v>74</v>
      </c>
      <c r="AL28" t="s">
        <v>74</v>
      </c>
      <c r="AM28" t="s">
        <v>74</v>
      </c>
      <c r="AN28" t="s">
        <v>74</v>
      </c>
      <c r="AO28" t="s">
        <v>74</v>
      </c>
      <c r="AP28" t="s">
        <v>74</v>
      </c>
      <c r="AQ28" t="s">
        <v>74</v>
      </c>
      <c r="AR28" t="s">
        <v>74</v>
      </c>
      <c r="AS28" t="s">
        <v>74</v>
      </c>
      <c r="AT28" t="s">
        <v>74</v>
      </c>
      <c r="AU28" t="s">
        <v>372</v>
      </c>
      <c r="AV28">
        <v>2019</v>
      </c>
      <c r="AW28">
        <v>62</v>
      </c>
      <c r="AX28" t="s">
        <v>74</v>
      </c>
      <c r="AY28" t="s">
        <v>74</v>
      </c>
      <c r="AZ28" t="s">
        <v>74</v>
      </c>
      <c r="BA28" t="s">
        <v>74</v>
      </c>
      <c r="BB28" t="s">
        <v>74</v>
      </c>
      <c r="BC28">
        <v>416</v>
      </c>
      <c r="BD28">
        <v>426</v>
      </c>
      <c r="BE28" t="s">
        <v>74</v>
      </c>
      <c r="BF28" t="s">
        <v>373</v>
      </c>
      <c r="BG28" t="str">
        <f>HYPERLINK("http://dx.doi.org/10.1016/j.resourpol.2019.05.002","http://dx.doi.org/10.1016/j.resourpol.2019.05.002")</f>
        <v>http://dx.doi.org/10.1016/j.resourpol.2019.05.002</v>
      </c>
      <c r="BH28" t="s">
        <v>74</v>
      </c>
      <c r="BI28" t="s">
        <v>74</v>
      </c>
      <c r="BJ28" t="s">
        <v>74</v>
      </c>
      <c r="BK28" t="s">
        <v>74</v>
      </c>
      <c r="BL28" t="s">
        <v>74</v>
      </c>
      <c r="BM28" t="s">
        <v>74</v>
      </c>
      <c r="BN28" t="s">
        <v>74</v>
      </c>
      <c r="BO28" t="s">
        <v>74</v>
      </c>
      <c r="BP28" t="s">
        <v>74</v>
      </c>
      <c r="BQ28" t="s">
        <v>74</v>
      </c>
      <c r="BR28" t="s">
        <v>74</v>
      </c>
      <c r="BS28" t="s">
        <v>86</v>
      </c>
      <c r="BT28" t="s">
        <v>374</v>
      </c>
      <c r="BU28" t="str">
        <f>HYPERLINK("https%3A%2F%2Fwww.webofscience.com%2Fwos%2Fwoscc%2Ffull-record%2FWOS:000474330600036","View Full Record in Web of Science")</f>
        <v>View Full Record in Web of Science</v>
      </c>
    </row>
    <row r="29" spans="1:73" ht="204" x14ac:dyDescent="0.2">
      <c r="A29" t="s">
        <v>72</v>
      </c>
      <c r="B29" t="s">
        <v>375</v>
      </c>
      <c r="C29" t="s">
        <v>74</v>
      </c>
      <c r="D29" t="s">
        <v>74</v>
      </c>
      <c r="E29" t="s">
        <v>74</v>
      </c>
      <c r="F29" t="s">
        <v>376</v>
      </c>
      <c r="G29" t="s">
        <v>74</v>
      </c>
      <c r="H29" t="s">
        <v>74</v>
      </c>
      <c r="I29" t="s">
        <v>377</v>
      </c>
      <c r="J29" t="s">
        <v>378</v>
      </c>
      <c r="K29" t="s">
        <v>74</v>
      </c>
      <c r="L29" t="s">
        <v>74</v>
      </c>
      <c r="M29" t="s">
        <v>74</v>
      </c>
      <c r="N29" t="s">
        <v>78</v>
      </c>
      <c r="O29" t="s">
        <v>74</v>
      </c>
      <c r="P29" t="s">
        <v>74</v>
      </c>
      <c r="Q29" t="s">
        <v>74</v>
      </c>
      <c r="R29" t="s">
        <v>74</v>
      </c>
      <c r="S29" t="s">
        <v>74</v>
      </c>
      <c r="T29" t="s">
        <v>74</v>
      </c>
      <c r="U29" t="s">
        <v>74</v>
      </c>
      <c r="V29" t="b">
        <v>0</v>
      </c>
      <c r="W29" s="1" t="s">
        <v>379</v>
      </c>
      <c r="X29" t="s">
        <v>380</v>
      </c>
      <c r="Y29" t="s">
        <v>74</v>
      </c>
      <c r="Z29" t="s">
        <v>381</v>
      </c>
      <c r="AA29" t="s">
        <v>382</v>
      </c>
      <c r="AB29" t="s">
        <v>74</v>
      </c>
      <c r="AC29" t="s">
        <v>74</v>
      </c>
      <c r="AD29" t="s">
        <v>74</v>
      </c>
      <c r="AE29" t="s">
        <v>74</v>
      </c>
      <c r="AF29" t="s">
        <v>74</v>
      </c>
      <c r="AG29" t="s">
        <v>74</v>
      </c>
      <c r="AH29" t="s">
        <v>74</v>
      </c>
      <c r="AI29">
        <v>0</v>
      </c>
      <c r="AJ29">
        <v>0</v>
      </c>
      <c r="AK29" t="s">
        <v>74</v>
      </c>
      <c r="AL29" t="s">
        <v>74</v>
      </c>
      <c r="AM29" t="s">
        <v>74</v>
      </c>
      <c r="AN29" t="s">
        <v>74</v>
      </c>
      <c r="AO29" t="s">
        <v>74</v>
      </c>
      <c r="AP29" t="s">
        <v>74</v>
      </c>
      <c r="AQ29" t="s">
        <v>74</v>
      </c>
      <c r="AR29" t="s">
        <v>74</v>
      </c>
      <c r="AS29" t="s">
        <v>74</v>
      </c>
      <c r="AT29" t="s">
        <v>74</v>
      </c>
      <c r="AU29" t="s">
        <v>179</v>
      </c>
      <c r="AV29">
        <v>2025</v>
      </c>
      <c r="AW29">
        <v>289</v>
      </c>
      <c r="AX29" t="s">
        <v>74</v>
      </c>
      <c r="AY29" t="s">
        <v>74</v>
      </c>
      <c r="AZ29" t="s">
        <v>74</v>
      </c>
      <c r="BA29" t="s">
        <v>74</v>
      </c>
      <c r="BB29" t="s">
        <v>74</v>
      </c>
      <c r="BC29" t="s">
        <v>74</v>
      </c>
      <c r="BD29" t="s">
        <v>74</v>
      </c>
      <c r="BE29">
        <v>107596</v>
      </c>
      <c r="BF29" t="s">
        <v>383</v>
      </c>
      <c r="BG29" t="str">
        <f>HYPERLINK("http://dx.doi.org/10.1016/j.aquatox.2025.107596","http://dx.doi.org/10.1016/j.aquatox.2025.107596")</f>
        <v>http://dx.doi.org/10.1016/j.aquatox.2025.107596</v>
      </c>
      <c r="BH29" t="s">
        <v>74</v>
      </c>
      <c r="BI29" t="s">
        <v>384</v>
      </c>
      <c r="BJ29" t="s">
        <v>74</v>
      </c>
      <c r="BK29" t="s">
        <v>74</v>
      </c>
      <c r="BL29" t="s">
        <v>74</v>
      </c>
      <c r="BM29" t="s">
        <v>74</v>
      </c>
      <c r="BN29" t="s">
        <v>74</v>
      </c>
      <c r="BO29" t="s">
        <v>74</v>
      </c>
      <c r="BP29" t="s">
        <v>74</v>
      </c>
      <c r="BQ29" t="s">
        <v>74</v>
      </c>
      <c r="BR29" t="s">
        <v>74</v>
      </c>
      <c r="BS29" t="s">
        <v>86</v>
      </c>
      <c r="BT29" t="s">
        <v>385</v>
      </c>
      <c r="BU29" t="str">
        <f>HYPERLINK("https%3A%2F%2Fwww.webofscience.com%2Fwos%2Fwoscc%2Ffull-record%2FWOS:001595287200001","View Full Record in Web of Science")</f>
        <v>View Full Record in Web of Science</v>
      </c>
    </row>
    <row r="30" spans="1:73" ht="119" x14ac:dyDescent="0.2">
      <c r="A30" t="s">
        <v>72</v>
      </c>
      <c r="B30" t="s">
        <v>386</v>
      </c>
      <c r="C30" t="s">
        <v>74</v>
      </c>
      <c r="D30" t="s">
        <v>74</v>
      </c>
      <c r="E30" t="s">
        <v>74</v>
      </c>
      <c r="F30" t="s">
        <v>387</v>
      </c>
      <c r="G30" t="s">
        <v>74</v>
      </c>
      <c r="H30" t="s">
        <v>74</v>
      </c>
      <c r="I30" t="s">
        <v>388</v>
      </c>
      <c r="J30" t="s">
        <v>389</v>
      </c>
      <c r="K30" t="s">
        <v>74</v>
      </c>
      <c r="L30" t="s">
        <v>74</v>
      </c>
      <c r="M30" t="s">
        <v>74</v>
      </c>
      <c r="N30" t="s">
        <v>78</v>
      </c>
      <c r="O30" t="s">
        <v>74</v>
      </c>
      <c r="P30" t="s">
        <v>74</v>
      </c>
      <c r="Q30" t="s">
        <v>74</v>
      </c>
      <c r="R30" t="s">
        <v>74</v>
      </c>
      <c r="S30" t="s">
        <v>74</v>
      </c>
      <c r="T30" t="s">
        <v>74</v>
      </c>
      <c r="U30" t="s">
        <v>74</v>
      </c>
      <c r="V30" t="b">
        <v>0</v>
      </c>
      <c r="W30" s="1" t="s">
        <v>390</v>
      </c>
      <c r="X30" t="s">
        <v>391</v>
      </c>
      <c r="Y30" t="s">
        <v>74</v>
      </c>
      <c r="Z30" t="s">
        <v>392</v>
      </c>
      <c r="AA30" t="s">
        <v>393</v>
      </c>
      <c r="AB30" t="s">
        <v>74</v>
      </c>
      <c r="AC30" t="s">
        <v>74</v>
      </c>
      <c r="AD30" t="s">
        <v>74</v>
      </c>
      <c r="AE30" t="s">
        <v>74</v>
      </c>
      <c r="AF30" t="s">
        <v>74</v>
      </c>
      <c r="AG30" t="s">
        <v>74</v>
      </c>
      <c r="AH30" t="s">
        <v>74</v>
      </c>
      <c r="AI30">
        <v>8</v>
      </c>
      <c r="AJ30">
        <v>8</v>
      </c>
      <c r="AK30" t="s">
        <v>74</v>
      </c>
      <c r="AL30" t="s">
        <v>74</v>
      </c>
      <c r="AM30" t="s">
        <v>74</v>
      </c>
      <c r="AN30" t="s">
        <v>74</v>
      </c>
      <c r="AO30" t="s">
        <v>74</v>
      </c>
      <c r="AP30" t="s">
        <v>74</v>
      </c>
      <c r="AQ30" t="s">
        <v>74</v>
      </c>
      <c r="AR30" t="s">
        <v>74</v>
      </c>
      <c r="AS30" t="s">
        <v>74</v>
      </c>
      <c r="AT30" t="s">
        <v>74</v>
      </c>
      <c r="AU30" t="s">
        <v>372</v>
      </c>
      <c r="AV30">
        <v>2024</v>
      </c>
      <c r="AW30">
        <v>70</v>
      </c>
      <c r="AX30">
        <v>8</v>
      </c>
      <c r="AY30" t="s">
        <v>74</v>
      </c>
      <c r="AZ30" t="s">
        <v>74</v>
      </c>
      <c r="BA30" t="s">
        <v>74</v>
      </c>
      <c r="BB30" t="s">
        <v>74</v>
      </c>
      <c r="BC30" t="s">
        <v>74</v>
      </c>
      <c r="BD30" t="s">
        <v>74</v>
      </c>
      <c r="BE30" t="s">
        <v>74</v>
      </c>
      <c r="BF30" t="s">
        <v>394</v>
      </c>
      <c r="BG30" t="str">
        <f>HYPERLINK("http://dx.doi.org/10.1002/aic.18458","http://dx.doi.org/10.1002/aic.18458")</f>
        <v>http://dx.doi.org/10.1002/aic.18458</v>
      </c>
      <c r="BH30" t="s">
        <v>74</v>
      </c>
      <c r="BI30" t="s">
        <v>395</v>
      </c>
      <c r="BJ30" t="s">
        <v>74</v>
      </c>
      <c r="BK30" t="s">
        <v>74</v>
      </c>
      <c r="BL30" t="s">
        <v>74</v>
      </c>
      <c r="BM30" t="s">
        <v>74</v>
      </c>
      <c r="BN30" t="s">
        <v>74</v>
      </c>
      <c r="BO30" t="s">
        <v>74</v>
      </c>
      <c r="BP30" t="s">
        <v>74</v>
      </c>
      <c r="BQ30" t="s">
        <v>74</v>
      </c>
      <c r="BR30" t="s">
        <v>74</v>
      </c>
      <c r="BS30" t="s">
        <v>86</v>
      </c>
      <c r="BT30" t="s">
        <v>396</v>
      </c>
      <c r="BU30" t="str">
        <f>HYPERLINK("https%3A%2F%2Fwww.webofscience.com%2Fwos%2Fwoscc%2Ffull-record%2FWOS:001206773000001","View Full Record in Web of Science")</f>
        <v>View Full Record in Web of Science</v>
      </c>
    </row>
    <row r="31" spans="1:73" ht="170" x14ac:dyDescent="0.2">
      <c r="A31" t="s">
        <v>72</v>
      </c>
      <c r="B31" t="s">
        <v>397</v>
      </c>
      <c r="C31" t="s">
        <v>74</v>
      </c>
      <c r="D31" t="s">
        <v>74</v>
      </c>
      <c r="E31" t="s">
        <v>74</v>
      </c>
      <c r="F31" t="s">
        <v>398</v>
      </c>
      <c r="G31" t="s">
        <v>74</v>
      </c>
      <c r="H31" t="s">
        <v>74</v>
      </c>
      <c r="I31" t="s">
        <v>399</v>
      </c>
      <c r="J31" t="s">
        <v>400</v>
      </c>
      <c r="K31" t="s">
        <v>74</v>
      </c>
      <c r="L31" t="s">
        <v>74</v>
      </c>
      <c r="M31" t="s">
        <v>74</v>
      </c>
      <c r="N31" t="s">
        <v>78</v>
      </c>
      <c r="O31" t="s">
        <v>74</v>
      </c>
      <c r="P31" t="s">
        <v>74</v>
      </c>
      <c r="Q31" t="s">
        <v>74</v>
      </c>
      <c r="R31" t="s">
        <v>74</v>
      </c>
      <c r="S31" t="s">
        <v>74</v>
      </c>
      <c r="T31" t="s">
        <v>74</v>
      </c>
      <c r="U31" t="s">
        <v>74</v>
      </c>
      <c r="V31" t="b">
        <v>1</v>
      </c>
      <c r="W31" s="1" t="s">
        <v>401</v>
      </c>
      <c r="X31" t="s">
        <v>402</v>
      </c>
      <c r="Y31" t="s">
        <v>74</v>
      </c>
      <c r="Z31" t="s">
        <v>403</v>
      </c>
      <c r="AA31" t="s">
        <v>404</v>
      </c>
      <c r="AB31" t="s">
        <v>74</v>
      </c>
      <c r="AC31" t="s">
        <v>74</v>
      </c>
      <c r="AD31" t="s">
        <v>74</v>
      </c>
      <c r="AE31" t="s">
        <v>74</v>
      </c>
      <c r="AF31" t="s">
        <v>74</v>
      </c>
      <c r="AG31" t="s">
        <v>74</v>
      </c>
      <c r="AH31" t="s">
        <v>74</v>
      </c>
      <c r="AI31">
        <v>33</v>
      </c>
      <c r="AJ31">
        <v>35</v>
      </c>
      <c r="AK31" t="s">
        <v>74</v>
      </c>
      <c r="AL31" t="s">
        <v>74</v>
      </c>
      <c r="AM31" t="s">
        <v>74</v>
      </c>
      <c r="AN31" t="s">
        <v>74</v>
      </c>
      <c r="AO31" t="s">
        <v>74</v>
      </c>
      <c r="AP31" t="s">
        <v>74</v>
      </c>
      <c r="AQ31" t="s">
        <v>74</v>
      </c>
      <c r="AR31" t="s">
        <v>74</v>
      </c>
      <c r="AS31" t="s">
        <v>74</v>
      </c>
      <c r="AT31" t="s">
        <v>74</v>
      </c>
      <c r="AU31" t="s">
        <v>279</v>
      </c>
      <c r="AV31">
        <v>2024</v>
      </c>
      <c r="AW31">
        <v>86</v>
      </c>
      <c r="AX31" t="s">
        <v>74</v>
      </c>
      <c r="AY31" t="s">
        <v>74</v>
      </c>
      <c r="AZ31" t="s">
        <v>74</v>
      </c>
      <c r="BA31" t="s">
        <v>74</v>
      </c>
      <c r="BB31" t="s">
        <v>74</v>
      </c>
      <c r="BC31" t="s">
        <v>74</v>
      </c>
      <c r="BD31" t="s">
        <v>74</v>
      </c>
      <c r="BE31">
        <v>102825</v>
      </c>
      <c r="BF31" t="s">
        <v>405</v>
      </c>
      <c r="BG31" t="str">
        <f>HYPERLINK("http://dx.doi.org/10.1016/j.gloenvcha.2024.102825","http://dx.doi.org/10.1016/j.gloenvcha.2024.102825")</f>
        <v>http://dx.doi.org/10.1016/j.gloenvcha.2024.102825</v>
      </c>
      <c r="BH31" t="s">
        <v>74</v>
      </c>
      <c r="BI31" t="s">
        <v>406</v>
      </c>
      <c r="BJ31" t="s">
        <v>74</v>
      </c>
      <c r="BK31" t="s">
        <v>74</v>
      </c>
      <c r="BL31" t="s">
        <v>74</v>
      </c>
      <c r="BM31" t="s">
        <v>74</v>
      </c>
      <c r="BN31" t="s">
        <v>74</v>
      </c>
      <c r="BO31" t="s">
        <v>74</v>
      </c>
      <c r="BP31" t="s">
        <v>74</v>
      </c>
      <c r="BQ31" t="s">
        <v>74</v>
      </c>
      <c r="BR31" t="s">
        <v>74</v>
      </c>
      <c r="BS31" t="s">
        <v>86</v>
      </c>
      <c r="BT31" t="s">
        <v>407</v>
      </c>
      <c r="BU31" t="str">
        <f>HYPERLINK("https%3A%2F%2Fwww.webofscience.com%2Fwos%2Fwoscc%2Ffull-record%2FWOS:001207940200001","View Full Record in Web of Science")</f>
        <v>View Full Record in Web of Science</v>
      </c>
    </row>
    <row r="32" spans="1:73" ht="170" x14ac:dyDescent="0.2">
      <c r="A32" t="s">
        <v>72</v>
      </c>
      <c r="B32" t="s">
        <v>408</v>
      </c>
      <c r="C32" t="s">
        <v>74</v>
      </c>
      <c r="D32" t="s">
        <v>74</v>
      </c>
      <c r="E32" t="s">
        <v>74</v>
      </c>
      <c r="F32" t="s">
        <v>409</v>
      </c>
      <c r="G32" t="s">
        <v>74</v>
      </c>
      <c r="H32" t="s">
        <v>74</v>
      </c>
      <c r="I32" t="s">
        <v>410</v>
      </c>
      <c r="J32" t="s">
        <v>77</v>
      </c>
      <c r="K32" t="s">
        <v>74</v>
      </c>
      <c r="L32" t="s">
        <v>74</v>
      </c>
      <c r="M32" t="s">
        <v>74</v>
      </c>
      <c r="N32" t="s">
        <v>78</v>
      </c>
      <c r="O32" t="s">
        <v>74</v>
      </c>
      <c r="P32" t="s">
        <v>74</v>
      </c>
      <c r="Q32" t="s">
        <v>74</v>
      </c>
      <c r="R32" t="s">
        <v>74</v>
      </c>
      <c r="S32" t="s">
        <v>74</v>
      </c>
      <c r="T32" t="s">
        <v>74</v>
      </c>
      <c r="U32" t="s">
        <v>74</v>
      </c>
      <c r="V32" t="b">
        <v>0</v>
      </c>
      <c r="W32" s="1" t="s">
        <v>411</v>
      </c>
      <c r="X32" t="s">
        <v>412</v>
      </c>
      <c r="Y32" t="s">
        <v>74</v>
      </c>
      <c r="Z32" t="s">
        <v>413</v>
      </c>
      <c r="AA32" t="s">
        <v>414</v>
      </c>
      <c r="AB32" t="s">
        <v>74</v>
      </c>
      <c r="AC32" t="s">
        <v>74</v>
      </c>
      <c r="AD32" t="s">
        <v>74</v>
      </c>
      <c r="AE32" t="s">
        <v>74</v>
      </c>
      <c r="AF32" t="s">
        <v>74</v>
      </c>
      <c r="AG32" t="s">
        <v>74</v>
      </c>
      <c r="AH32" t="s">
        <v>74</v>
      </c>
      <c r="AI32">
        <v>29</v>
      </c>
      <c r="AJ32">
        <v>38</v>
      </c>
      <c r="AK32" t="s">
        <v>74</v>
      </c>
      <c r="AL32" t="s">
        <v>74</v>
      </c>
      <c r="AM32" t="s">
        <v>74</v>
      </c>
      <c r="AN32" t="s">
        <v>74</v>
      </c>
      <c r="AO32" t="s">
        <v>74</v>
      </c>
      <c r="AP32" t="s">
        <v>74</v>
      </c>
      <c r="AQ32" t="s">
        <v>74</v>
      </c>
      <c r="AR32" t="s">
        <v>74</v>
      </c>
      <c r="AS32" t="s">
        <v>74</v>
      </c>
      <c r="AT32" t="s">
        <v>74</v>
      </c>
      <c r="AU32" t="s">
        <v>190</v>
      </c>
      <c r="AV32">
        <v>2020</v>
      </c>
      <c r="AW32">
        <v>157</v>
      </c>
      <c r="AX32" t="s">
        <v>74</v>
      </c>
      <c r="AY32" t="s">
        <v>74</v>
      </c>
      <c r="AZ32" t="s">
        <v>74</v>
      </c>
      <c r="BA32" t="s">
        <v>74</v>
      </c>
      <c r="BB32" t="s">
        <v>74</v>
      </c>
      <c r="BC32" t="s">
        <v>74</v>
      </c>
      <c r="BD32" t="s">
        <v>74</v>
      </c>
      <c r="BE32">
        <v>104593</v>
      </c>
      <c r="BF32" t="s">
        <v>415</v>
      </c>
      <c r="BG32" t="str">
        <f>HYPERLINK("http://dx.doi.org/10.1016/j.resconrec.2020.104593","http://dx.doi.org/10.1016/j.resconrec.2020.104593")</f>
        <v>http://dx.doi.org/10.1016/j.resconrec.2020.104593</v>
      </c>
      <c r="BH32" t="s">
        <v>74</v>
      </c>
      <c r="BI32" t="s">
        <v>74</v>
      </c>
      <c r="BJ32" t="s">
        <v>74</v>
      </c>
      <c r="BK32" t="s">
        <v>74</v>
      </c>
      <c r="BL32" t="s">
        <v>74</v>
      </c>
      <c r="BM32" t="s">
        <v>74</v>
      </c>
      <c r="BN32" t="s">
        <v>74</v>
      </c>
      <c r="BO32" t="s">
        <v>74</v>
      </c>
      <c r="BP32" t="s">
        <v>74</v>
      </c>
      <c r="BQ32" t="s">
        <v>74</v>
      </c>
      <c r="BR32" t="s">
        <v>74</v>
      </c>
      <c r="BS32" t="s">
        <v>86</v>
      </c>
      <c r="BT32" t="s">
        <v>416</v>
      </c>
      <c r="BU32" t="str">
        <f>HYPERLINK("https%3A%2F%2Fwww.webofscience.com%2Fwos%2Fwoscc%2Ffull-record%2FWOS:000540606400005","View Full Record in Web of Science")</f>
        <v>View Full Record in Web of Science</v>
      </c>
    </row>
    <row r="33" spans="1:73" ht="119" x14ac:dyDescent="0.2">
      <c r="A33" t="s">
        <v>72</v>
      </c>
      <c r="B33" t="s">
        <v>417</v>
      </c>
      <c r="C33" t="s">
        <v>74</v>
      </c>
      <c r="D33" t="s">
        <v>74</v>
      </c>
      <c r="E33" t="s">
        <v>74</v>
      </c>
      <c r="F33" t="s">
        <v>418</v>
      </c>
      <c r="G33" t="s">
        <v>74</v>
      </c>
      <c r="H33" t="s">
        <v>74</v>
      </c>
      <c r="I33" t="s">
        <v>419</v>
      </c>
      <c r="J33" t="s">
        <v>420</v>
      </c>
      <c r="K33" t="s">
        <v>74</v>
      </c>
      <c r="L33" t="s">
        <v>74</v>
      </c>
      <c r="M33" t="s">
        <v>74</v>
      </c>
      <c r="N33" t="s">
        <v>78</v>
      </c>
      <c r="O33" t="s">
        <v>74</v>
      </c>
      <c r="P33" t="s">
        <v>74</v>
      </c>
      <c r="Q33" t="s">
        <v>74</v>
      </c>
      <c r="R33" t="s">
        <v>74</v>
      </c>
      <c r="S33" t="s">
        <v>74</v>
      </c>
      <c r="T33" t="s">
        <v>74</v>
      </c>
      <c r="U33" t="s">
        <v>74</v>
      </c>
      <c r="V33" t="b">
        <v>0</v>
      </c>
      <c r="W33" s="1" t="s">
        <v>421</v>
      </c>
      <c r="X33" t="s">
        <v>422</v>
      </c>
      <c r="Y33" t="s">
        <v>74</v>
      </c>
      <c r="Z33" t="s">
        <v>423</v>
      </c>
      <c r="AA33" t="s">
        <v>424</v>
      </c>
      <c r="AB33" t="s">
        <v>74</v>
      </c>
      <c r="AC33" t="s">
        <v>74</v>
      </c>
      <c r="AD33" t="s">
        <v>74</v>
      </c>
      <c r="AE33" t="s">
        <v>74</v>
      </c>
      <c r="AF33" t="s">
        <v>74</v>
      </c>
      <c r="AG33" t="s">
        <v>74</v>
      </c>
      <c r="AH33" t="s">
        <v>74</v>
      </c>
      <c r="AI33">
        <v>29</v>
      </c>
      <c r="AJ33">
        <v>32</v>
      </c>
      <c r="AK33" t="s">
        <v>74</v>
      </c>
      <c r="AL33" t="s">
        <v>74</v>
      </c>
      <c r="AM33" t="s">
        <v>74</v>
      </c>
      <c r="AN33" t="s">
        <v>74</v>
      </c>
      <c r="AO33" t="s">
        <v>74</v>
      </c>
      <c r="AP33" t="s">
        <v>74</v>
      </c>
      <c r="AQ33" t="s">
        <v>74</v>
      </c>
      <c r="AR33" t="s">
        <v>74</v>
      </c>
      <c r="AS33" t="s">
        <v>74</v>
      </c>
      <c r="AT33" t="s">
        <v>74</v>
      </c>
      <c r="AU33" t="s">
        <v>425</v>
      </c>
      <c r="AV33">
        <v>2018</v>
      </c>
      <c r="AW33">
        <v>58</v>
      </c>
      <c r="AX33">
        <v>10</v>
      </c>
      <c r="AY33" t="s">
        <v>74</v>
      </c>
      <c r="AZ33" t="s">
        <v>74</v>
      </c>
      <c r="BA33" t="s">
        <v>74</v>
      </c>
      <c r="BB33" t="s">
        <v>74</v>
      </c>
      <c r="BC33" t="s">
        <v>74</v>
      </c>
      <c r="BD33" t="s">
        <v>74</v>
      </c>
      <c r="BE33">
        <v>104002</v>
      </c>
      <c r="BF33" t="s">
        <v>426</v>
      </c>
      <c r="BG33" t="str">
        <f>HYPERLINK("http://dx.doi.org/10.1088/1741-4326/aad290","http://dx.doi.org/10.1088/1741-4326/aad290")</f>
        <v>http://dx.doi.org/10.1088/1741-4326/aad290</v>
      </c>
      <c r="BH33" t="s">
        <v>74</v>
      </c>
      <c r="BI33" t="s">
        <v>74</v>
      </c>
      <c r="BJ33" t="s">
        <v>74</v>
      </c>
      <c r="BK33" t="s">
        <v>74</v>
      </c>
      <c r="BL33" t="s">
        <v>74</v>
      </c>
      <c r="BM33" t="s">
        <v>74</v>
      </c>
      <c r="BN33" t="s">
        <v>74</v>
      </c>
      <c r="BO33" t="s">
        <v>74</v>
      </c>
      <c r="BP33" t="s">
        <v>74</v>
      </c>
      <c r="BQ33" t="s">
        <v>74</v>
      </c>
      <c r="BR33" t="s">
        <v>74</v>
      </c>
      <c r="BS33" t="s">
        <v>86</v>
      </c>
      <c r="BT33" t="s">
        <v>427</v>
      </c>
      <c r="BU33" t="str">
        <f>HYPERLINK("https%3A%2F%2Fwww.webofscience.com%2Fwos%2Fwoscc%2Ffull-record%2FWOS:000440547800001","View Full Record in Web of Science")</f>
        <v>View Full Record in Web of Science</v>
      </c>
    </row>
    <row r="34" spans="1:73" ht="187" x14ac:dyDescent="0.2">
      <c r="A34" t="s">
        <v>72</v>
      </c>
      <c r="B34" t="s">
        <v>428</v>
      </c>
      <c r="C34" t="s">
        <v>74</v>
      </c>
      <c r="D34" t="s">
        <v>74</v>
      </c>
      <c r="E34" t="s">
        <v>74</v>
      </c>
      <c r="F34" t="s">
        <v>429</v>
      </c>
      <c r="G34" t="s">
        <v>74</v>
      </c>
      <c r="H34" t="s">
        <v>74</v>
      </c>
      <c r="I34" t="s">
        <v>430</v>
      </c>
      <c r="J34" t="s">
        <v>431</v>
      </c>
      <c r="K34" t="s">
        <v>74</v>
      </c>
      <c r="L34" t="s">
        <v>74</v>
      </c>
      <c r="M34" t="s">
        <v>74</v>
      </c>
      <c r="N34" t="s">
        <v>78</v>
      </c>
      <c r="O34" t="s">
        <v>74</v>
      </c>
      <c r="P34" t="s">
        <v>74</v>
      </c>
      <c r="Q34" t="s">
        <v>74</v>
      </c>
      <c r="R34" t="s">
        <v>74</v>
      </c>
      <c r="S34" t="s">
        <v>74</v>
      </c>
      <c r="T34" t="s">
        <v>74</v>
      </c>
      <c r="U34" t="s">
        <v>74</v>
      </c>
      <c r="V34" t="b">
        <v>1</v>
      </c>
      <c r="W34" s="1" t="s">
        <v>432</v>
      </c>
      <c r="X34" t="s">
        <v>433</v>
      </c>
      <c r="Y34" t="s">
        <v>74</v>
      </c>
      <c r="Z34" t="s">
        <v>434</v>
      </c>
      <c r="AA34" t="s">
        <v>435</v>
      </c>
      <c r="AB34" t="s">
        <v>74</v>
      </c>
      <c r="AC34" t="s">
        <v>74</v>
      </c>
      <c r="AD34" t="s">
        <v>74</v>
      </c>
      <c r="AE34" t="s">
        <v>74</v>
      </c>
      <c r="AF34" t="s">
        <v>74</v>
      </c>
      <c r="AG34" t="s">
        <v>74</v>
      </c>
      <c r="AH34" t="s">
        <v>74</v>
      </c>
      <c r="AI34">
        <v>2</v>
      </c>
      <c r="AJ34">
        <v>2</v>
      </c>
      <c r="AK34" t="s">
        <v>74</v>
      </c>
      <c r="AL34" t="s">
        <v>74</v>
      </c>
      <c r="AM34" t="s">
        <v>74</v>
      </c>
      <c r="AN34" t="s">
        <v>74</v>
      </c>
      <c r="AO34" t="s">
        <v>74</v>
      </c>
      <c r="AP34" t="s">
        <v>74</v>
      </c>
      <c r="AQ34" t="s">
        <v>74</v>
      </c>
      <c r="AR34" t="s">
        <v>74</v>
      </c>
      <c r="AS34" t="s">
        <v>74</v>
      </c>
      <c r="AT34" t="s">
        <v>74</v>
      </c>
      <c r="AU34" t="s">
        <v>74</v>
      </c>
      <c r="AV34">
        <v>2025</v>
      </c>
      <c r="AW34">
        <v>41</v>
      </c>
      <c r="AX34">
        <v>3</v>
      </c>
      <c r="AY34" t="s">
        <v>74</v>
      </c>
      <c r="AZ34" t="s">
        <v>74</v>
      </c>
      <c r="BA34" t="s">
        <v>74</v>
      </c>
      <c r="BB34" t="s">
        <v>74</v>
      </c>
      <c r="BC34" t="s">
        <v>74</v>
      </c>
      <c r="BD34" t="s">
        <v>74</v>
      </c>
      <c r="BE34" t="s">
        <v>74</v>
      </c>
      <c r="BF34" t="s">
        <v>436</v>
      </c>
      <c r="BG34" t="str">
        <f>HYPERLINK("http://dx.doi.org/10.24425/gsm.2025.155341","http://dx.doi.org/10.24425/gsm.2025.155341")</f>
        <v>http://dx.doi.org/10.24425/gsm.2025.155341</v>
      </c>
      <c r="BH34" t="s">
        <v>74</v>
      </c>
      <c r="BI34" t="s">
        <v>74</v>
      </c>
      <c r="BJ34" t="s">
        <v>74</v>
      </c>
      <c r="BK34" t="s">
        <v>74</v>
      </c>
      <c r="BL34" t="s">
        <v>74</v>
      </c>
      <c r="BM34" t="s">
        <v>74</v>
      </c>
      <c r="BN34" t="s">
        <v>74</v>
      </c>
      <c r="BO34" t="s">
        <v>74</v>
      </c>
      <c r="BP34" t="s">
        <v>74</v>
      </c>
      <c r="BQ34" t="s">
        <v>74</v>
      </c>
      <c r="BR34" t="s">
        <v>74</v>
      </c>
      <c r="BS34" t="s">
        <v>86</v>
      </c>
      <c r="BT34" t="s">
        <v>437</v>
      </c>
      <c r="BU34" t="str">
        <f>HYPERLINK("https%3A%2F%2Fwww.webofscience.com%2Fwos%2Fwoscc%2Ffull-record%2FWOS:001596883000001","View Full Record in Web of Science")</f>
        <v>View Full Record in Web of Science</v>
      </c>
    </row>
    <row r="35" spans="1:73" ht="170" x14ac:dyDescent="0.2">
      <c r="A35" t="s">
        <v>72</v>
      </c>
      <c r="B35" t="s">
        <v>438</v>
      </c>
      <c r="C35" t="s">
        <v>74</v>
      </c>
      <c r="D35" t="s">
        <v>74</v>
      </c>
      <c r="E35" t="s">
        <v>74</v>
      </c>
      <c r="F35" t="s">
        <v>439</v>
      </c>
      <c r="G35" t="s">
        <v>74</v>
      </c>
      <c r="H35" t="s">
        <v>74</v>
      </c>
      <c r="I35" t="s">
        <v>440</v>
      </c>
      <c r="J35" t="s">
        <v>441</v>
      </c>
      <c r="K35" t="s">
        <v>74</v>
      </c>
      <c r="L35" t="s">
        <v>74</v>
      </c>
      <c r="M35" t="s">
        <v>74</v>
      </c>
      <c r="N35" t="s">
        <v>78</v>
      </c>
      <c r="O35" t="s">
        <v>74</v>
      </c>
      <c r="P35" t="s">
        <v>74</v>
      </c>
      <c r="Q35" t="s">
        <v>74</v>
      </c>
      <c r="R35" t="s">
        <v>74</v>
      </c>
      <c r="S35" t="s">
        <v>74</v>
      </c>
      <c r="T35" t="s">
        <v>74</v>
      </c>
      <c r="U35" t="s">
        <v>74</v>
      </c>
      <c r="V35" t="s">
        <v>3265</v>
      </c>
      <c r="W35" s="1" t="s">
        <v>442</v>
      </c>
      <c r="X35" t="s">
        <v>443</v>
      </c>
      <c r="Y35" t="s">
        <v>74</v>
      </c>
      <c r="Z35" t="s">
        <v>444</v>
      </c>
      <c r="AA35" t="s">
        <v>445</v>
      </c>
      <c r="AB35" t="s">
        <v>74</v>
      </c>
      <c r="AC35" t="s">
        <v>74</v>
      </c>
      <c r="AD35" t="s">
        <v>74</v>
      </c>
      <c r="AE35" t="s">
        <v>74</v>
      </c>
      <c r="AF35" t="s">
        <v>74</v>
      </c>
      <c r="AG35" t="s">
        <v>74</v>
      </c>
      <c r="AH35" t="s">
        <v>74</v>
      </c>
      <c r="AI35">
        <v>0</v>
      </c>
      <c r="AJ35">
        <v>0</v>
      </c>
      <c r="AK35" t="s">
        <v>74</v>
      </c>
      <c r="AL35" t="s">
        <v>74</v>
      </c>
      <c r="AM35" t="s">
        <v>74</v>
      </c>
      <c r="AN35" t="s">
        <v>74</v>
      </c>
      <c r="AO35" t="s">
        <v>74</v>
      </c>
      <c r="AP35" t="s">
        <v>74</v>
      </c>
      <c r="AQ35" t="s">
        <v>74</v>
      </c>
      <c r="AR35" t="s">
        <v>74</v>
      </c>
      <c r="AS35" t="s">
        <v>74</v>
      </c>
      <c r="AT35" t="s">
        <v>74</v>
      </c>
      <c r="AU35" t="s">
        <v>425</v>
      </c>
      <c r="AV35">
        <v>2025</v>
      </c>
      <c r="AW35">
        <v>173</v>
      </c>
      <c r="AX35" t="s">
        <v>74</v>
      </c>
      <c r="AY35" t="s">
        <v>74</v>
      </c>
      <c r="AZ35" t="s">
        <v>74</v>
      </c>
      <c r="BA35" t="s">
        <v>74</v>
      </c>
      <c r="BB35" t="s">
        <v>74</v>
      </c>
      <c r="BC35" t="s">
        <v>74</v>
      </c>
      <c r="BD35" t="s">
        <v>74</v>
      </c>
      <c r="BE35">
        <v>103668</v>
      </c>
      <c r="BF35" t="s">
        <v>446</v>
      </c>
      <c r="BG35" t="str">
        <f>HYPERLINK("http://dx.doi.org/10.1016/j.futures.2025.103668","http://dx.doi.org/10.1016/j.futures.2025.103668")</f>
        <v>http://dx.doi.org/10.1016/j.futures.2025.103668</v>
      </c>
      <c r="BH35" t="s">
        <v>74</v>
      </c>
      <c r="BI35" t="s">
        <v>134</v>
      </c>
      <c r="BJ35" t="s">
        <v>74</v>
      </c>
      <c r="BK35" t="s">
        <v>74</v>
      </c>
      <c r="BL35" t="s">
        <v>74</v>
      </c>
      <c r="BM35" t="s">
        <v>74</v>
      </c>
      <c r="BN35" t="s">
        <v>74</v>
      </c>
      <c r="BO35" t="s">
        <v>74</v>
      </c>
      <c r="BP35" t="s">
        <v>74</v>
      </c>
      <c r="BQ35" t="s">
        <v>74</v>
      </c>
      <c r="BR35" t="s">
        <v>74</v>
      </c>
      <c r="BS35" t="s">
        <v>86</v>
      </c>
      <c r="BT35" t="s">
        <v>447</v>
      </c>
      <c r="BU35" t="str">
        <f>HYPERLINK("https%3A%2F%2Fwww.webofscience.com%2Fwos%2Fwoscc%2Ffull-record%2FWOS:001555405700001","View Full Record in Web of Science")</f>
        <v>View Full Record in Web of Science</v>
      </c>
    </row>
    <row r="36" spans="1:73" ht="170" x14ac:dyDescent="0.2">
      <c r="A36" t="s">
        <v>72</v>
      </c>
      <c r="B36" t="s">
        <v>448</v>
      </c>
      <c r="C36" t="s">
        <v>74</v>
      </c>
      <c r="D36" t="s">
        <v>74</v>
      </c>
      <c r="E36" t="s">
        <v>74</v>
      </c>
      <c r="F36" t="s">
        <v>449</v>
      </c>
      <c r="G36" t="s">
        <v>74</v>
      </c>
      <c r="H36" t="s">
        <v>74</v>
      </c>
      <c r="I36" t="s">
        <v>450</v>
      </c>
      <c r="J36" t="s">
        <v>451</v>
      </c>
      <c r="K36" t="s">
        <v>74</v>
      </c>
      <c r="L36" t="s">
        <v>74</v>
      </c>
      <c r="M36" t="s">
        <v>74</v>
      </c>
      <c r="N36" t="s">
        <v>452</v>
      </c>
      <c r="O36" t="s">
        <v>74</v>
      </c>
      <c r="P36" t="s">
        <v>74</v>
      </c>
      <c r="Q36" t="s">
        <v>74</v>
      </c>
      <c r="R36" t="s">
        <v>74</v>
      </c>
      <c r="S36" t="s">
        <v>74</v>
      </c>
      <c r="T36" t="s">
        <v>74</v>
      </c>
      <c r="U36" t="s">
        <v>74</v>
      </c>
      <c r="V36" t="b">
        <v>0</v>
      </c>
      <c r="W36" s="1" t="s">
        <v>453</v>
      </c>
      <c r="X36" t="s">
        <v>454</v>
      </c>
      <c r="Y36" t="s">
        <v>74</v>
      </c>
      <c r="Z36" t="s">
        <v>455</v>
      </c>
      <c r="AA36" t="s">
        <v>74</v>
      </c>
      <c r="AB36" t="s">
        <v>74</v>
      </c>
      <c r="AC36" t="s">
        <v>74</v>
      </c>
      <c r="AD36" t="s">
        <v>74</v>
      </c>
      <c r="AE36" t="s">
        <v>74</v>
      </c>
      <c r="AF36" t="s">
        <v>74</v>
      </c>
      <c r="AG36" t="s">
        <v>74</v>
      </c>
      <c r="AH36" t="s">
        <v>74</v>
      </c>
      <c r="AI36">
        <v>0</v>
      </c>
      <c r="AJ36">
        <v>0</v>
      </c>
      <c r="AK36" t="s">
        <v>74</v>
      </c>
      <c r="AL36" t="s">
        <v>74</v>
      </c>
      <c r="AM36" t="s">
        <v>74</v>
      </c>
      <c r="AN36" t="s">
        <v>74</v>
      </c>
      <c r="AO36" t="s">
        <v>74</v>
      </c>
      <c r="AP36" t="s">
        <v>74</v>
      </c>
      <c r="AQ36" t="s">
        <v>74</v>
      </c>
      <c r="AR36" t="s">
        <v>74</v>
      </c>
      <c r="AS36" t="s">
        <v>74</v>
      </c>
      <c r="AT36" t="s">
        <v>74</v>
      </c>
      <c r="AU36" t="s">
        <v>74</v>
      </c>
      <c r="AV36">
        <v>2025</v>
      </c>
      <c r="AW36">
        <v>13</v>
      </c>
      <c r="AX36" t="s">
        <v>74</v>
      </c>
      <c r="AY36" t="s">
        <v>74</v>
      </c>
      <c r="AZ36" t="s">
        <v>74</v>
      </c>
      <c r="BA36" t="s">
        <v>456</v>
      </c>
      <c r="BB36" t="s">
        <v>74</v>
      </c>
      <c r="BC36" t="s">
        <v>457</v>
      </c>
      <c r="BD36" t="s">
        <v>458</v>
      </c>
      <c r="BE36" t="s">
        <v>74</v>
      </c>
      <c r="BF36" t="s">
        <v>74</v>
      </c>
      <c r="BG36" t="s">
        <v>74</v>
      </c>
      <c r="BH36" t="s">
        <v>74</v>
      </c>
      <c r="BI36" t="s">
        <v>74</v>
      </c>
      <c r="BJ36" t="s">
        <v>74</v>
      </c>
      <c r="BK36" t="s">
        <v>74</v>
      </c>
      <c r="BL36" t="s">
        <v>74</v>
      </c>
      <c r="BM36" t="s">
        <v>74</v>
      </c>
      <c r="BN36" t="s">
        <v>74</v>
      </c>
      <c r="BO36" t="s">
        <v>74</v>
      </c>
      <c r="BP36" t="s">
        <v>74</v>
      </c>
      <c r="BQ36" t="s">
        <v>74</v>
      </c>
      <c r="BR36" t="s">
        <v>74</v>
      </c>
      <c r="BS36" t="s">
        <v>86</v>
      </c>
      <c r="BT36" t="s">
        <v>459</v>
      </c>
      <c r="BU36" t="str">
        <f>HYPERLINK("https%3A%2F%2Fwww.webofscience.com%2Fwos%2Fwoscc%2Ffull-record%2FWOS:001461596000036","View Full Record in Web of Science")</f>
        <v>View Full Record in Web of Science</v>
      </c>
    </row>
    <row r="37" spans="1:73" ht="153" x14ac:dyDescent="0.2">
      <c r="A37" t="s">
        <v>72</v>
      </c>
      <c r="B37" t="s">
        <v>460</v>
      </c>
      <c r="C37" t="s">
        <v>74</v>
      </c>
      <c r="D37" t="s">
        <v>74</v>
      </c>
      <c r="E37" t="s">
        <v>74</v>
      </c>
      <c r="F37" t="s">
        <v>461</v>
      </c>
      <c r="G37" t="s">
        <v>74</v>
      </c>
      <c r="H37" t="s">
        <v>74</v>
      </c>
      <c r="I37" t="s">
        <v>462</v>
      </c>
      <c r="J37" t="s">
        <v>463</v>
      </c>
      <c r="K37" t="s">
        <v>74</v>
      </c>
      <c r="L37" t="s">
        <v>74</v>
      </c>
      <c r="M37" t="s">
        <v>74</v>
      </c>
      <c r="N37" t="s">
        <v>452</v>
      </c>
      <c r="O37" t="s">
        <v>74</v>
      </c>
      <c r="P37" t="s">
        <v>74</v>
      </c>
      <c r="Q37" t="s">
        <v>74</v>
      </c>
      <c r="R37" t="s">
        <v>74</v>
      </c>
      <c r="S37" t="s">
        <v>74</v>
      </c>
      <c r="T37" t="s">
        <v>74</v>
      </c>
      <c r="U37" t="s">
        <v>74</v>
      </c>
      <c r="V37" t="b">
        <v>0</v>
      </c>
      <c r="W37" s="1" t="s">
        <v>464</v>
      </c>
      <c r="X37" t="s">
        <v>465</v>
      </c>
      <c r="Y37" t="s">
        <v>74</v>
      </c>
      <c r="Z37" t="s">
        <v>466</v>
      </c>
      <c r="AA37" t="s">
        <v>467</v>
      </c>
      <c r="AB37" t="s">
        <v>74</v>
      </c>
      <c r="AC37" t="s">
        <v>74</v>
      </c>
      <c r="AD37" t="s">
        <v>74</v>
      </c>
      <c r="AE37" t="s">
        <v>74</v>
      </c>
      <c r="AF37" t="s">
        <v>74</v>
      </c>
      <c r="AG37" t="s">
        <v>74</v>
      </c>
      <c r="AH37" t="s">
        <v>74</v>
      </c>
      <c r="AI37">
        <v>43</v>
      </c>
      <c r="AJ37">
        <v>52</v>
      </c>
      <c r="AK37" t="s">
        <v>74</v>
      </c>
      <c r="AL37" t="s">
        <v>74</v>
      </c>
      <c r="AM37" t="s">
        <v>74</v>
      </c>
      <c r="AN37" t="s">
        <v>74</v>
      </c>
      <c r="AO37" t="s">
        <v>74</v>
      </c>
      <c r="AP37" t="s">
        <v>74</v>
      </c>
      <c r="AQ37" t="s">
        <v>74</v>
      </c>
      <c r="AR37" t="s">
        <v>74</v>
      </c>
      <c r="AS37" t="s">
        <v>74</v>
      </c>
      <c r="AT37" t="s">
        <v>74</v>
      </c>
      <c r="AU37" t="s">
        <v>468</v>
      </c>
      <c r="AV37">
        <v>2022</v>
      </c>
      <c r="AW37">
        <v>189</v>
      </c>
      <c r="AX37" t="s">
        <v>74</v>
      </c>
      <c r="AY37" t="s">
        <v>74</v>
      </c>
      <c r="AZ37" t="s">
        <v>74</v>
      </c>
      <c r="BA37" t="s">
        <v>74</v>
      </c>
      <c r="BB37" t="s">
        <v>74</v>
      </c>
      <c r="BC37" t="s">
        <v>74</v>
      </c>
      <c r="BD37" t="s">
        <v>74</v>
      </c>
      <c r="BE37">
        <v>107897</v>
      </c>
      <c r="BF37" t="s">
        <v>469</v>
      </c>
      <c r="BG37" t="str">
        <f>HYPERLINK("http://dx.doi.org/10.1016/j.mineng.2022.107897","http://dx.doi.org/10.1016/j.mineng.2022.107897")</f>
        <v>http://dx.doi.org/10.1016/j.mineng.2022.107897</v>
      </c>
      <c r="BH37" t="s">
        <v>74</v>
      </c>
      <c r="BI37" t="s">
        <v>470</v>
      </c>
      <c r="BJ37" t="s">
        <v>74</v>
      </c>
      <c r="BK37" t="s">
        <v>74</v>
      </c>
      <c r="BL37" t="s">
        <v>74</v>
      </c>
      <c r="BM37" t="s">
        <v>74</v>
      </c>
      <c r="BN37" t="s">
        <v>74</v>
      </c>
      <c r="BO37" t="s">
        <v>74</v>
      </c>
      <c r="BP37" t="s">
        <v>74</v>
      </c>
      <c r="BQ37" t="s">
        <v>74</v>
      </c>
      <c r="BR37" t="s">
        <v>74</v>
      </c>
      <c r="BS37" t="s">
        <v>86</v>
      </c>
      <c r="BT37" t="s">
        <v>471</v>
      </c>
      <c r="BU37" t="str">
        <f>HYPERLINK("https%3A%2F%2Fwww.webofscience.com%2Fwos%2Fwoscc%2Ffull-record%2FWOS:000903969400002","View Full Record in Web of Science")</f>
        <v>View Full Record in Web of Science</v>
      </c>
    </row>
    <row r="38" spans="1:73" ht="153" x14ac:dyDescent="0.2">
      <c r="A38" t="s">
        <v>72</v>
      </c>
      <c r="B38" t="s">
        <v>472</v>
      </c>
      <c r="C38" t="s">
        <v>74</v>
      </c>
      <c r="D38" t="s">
        <v>74</v>
      </c>
      <c r="E38" t="s">
        <v>74</v>
      </c>
      <c r="F38" t="s">
        <v>473</v>
      </c>
      <c r="G38" t="s">
        <v>74</v>
      </c>
      <c r="H38" t="s">
        <v>74</v>
      </c>
      <c r="I38" t="s">
        <v>474</v>
      </c>
      <c r="J38" t="s">
        <v>475</v>
      </c>
      <c r="K38" t="s">
        <v>74</v>
      </c>
      <c r="L38" t="s">
        <v>74</v>
      </c>
      <c r="M38" t="s">
        <v>74</v>
      </c>
      <c r="N38" t="s">
        <v>78</v>
      </c>
      <c r="O38" t="s">
        <v>74</v>
      </c>
      <c r="P38" t="s">
        <v>74</v>
      </c>
      <c r="Q38" t="s">
        <v>74</v>
      </c>
      <c r="R38" t="s">
        <v>74</v>
      </c>
      <c r="S38" t="s">
        <v>74</v>
      </c>
      <c r="T38" t="s">
        <v>74</v>
      </c>
      <c r="U38" t="s">
        <v>74</v>
      </c>
      <c r="V38" t="b">
        <v>1</v>
      </c>
      <c r="W38" s="1" t="s">
        <v>476</v>
      </c>
      <c r="X38" t="s">
        <v>477</v>
      </c>
      <c r="Y38" t="s">
        <v>74</v>
      </c>
      <c r="Z38" t="s">
        <v>478</v>
      </c>
      <c r="AA38" t="s">
        <v>479</v>
      </c>
      <c r="AB38" t="s">
        <v>74</v>
      </c>
      <c r="AC38" t="s">
        <v>74</v>
      </c>
      <c r="AD38" t="s">
        <v>74</v>
      </c>
      <c r="AE38" t="s">
        <v>74</v>
      </c>
      <c r="AF38" t="s">
        <v>74</v>
      </c>
      <c r="AG38" t="s">
        <v>74</v>
      </c>
      <c r="AH38" t="s">
        <v>74</v>
      </c>
      <c r="AI38">
        <v>3</v>
      </c>
      <c r="AJ38">
        <v>3</v>
      </c>
      <c r="AK38" t="s">
        <v>74</v>
      </c>
      <c r="AL38" t="s">
        <v>74</v>
      </c>
      <c r="AM38" t="s">
        <v>74</v>
      </c>
      <c r="AN38" t="s">
        <v>74</v>
      </c>
      <c r="AO38" t="s">
        <v>74</v>
      </c>
      <c r="AP38" t="s">
        <v>74</v>
      </c>
      <c r="AQ38" t="s">
        <v>74</v>
      </c>
      <c r="AR38" t="s">
        <v>74</v>
      </c>
      <c r="AS38" t="s">
        <v>74</v>
      </c>
      <c r="AT38" t="s">
        <v>74</v>
      </c>
      <c r="AU38" t="s">
        <v>190</v>
      </c>
      <c r="AV38">
        <v>2025</v>
      </c>
      <c r="AW38">
        <v>13</v>
      </c>
      <c r="AX38" t="s">
        <v>74</v>
      </c>
      <c r="AY38" t="s">
        <v>74</v>
      </c>
      <c r="AZ38" t="s">
        <v>74</v>
      </c>
      <c r="BA38" t="s">
        <v>74</v>
      </c>
      <c r="BB38" t="s">
        <v>74</v>
      </c>
      <c r="BC38">
        <v>4359</v>
      </c>
      <c r="BD38">
        <v>4374</v>
      </c>
      <c r="BE38" t="s">
        <v>74</v>
      </c>
      <c r="BF38" t="s">
        <v>480</v>
      </c>
      <c r="BG38" t="str">
        <f>HYPERLINK("http://dx.doi.org/10.1016/j.egyr.2025.03.051","http://dx.doi.org/10.1016/j.egyr.2025.03.051")</f>
        <v>http://dx.doi.org/10.1016/j.egyr.2025.03.051</v>
      </c>
      <c r="BH38" t="s">
        <v>74</v>
      </c>
      <c r="BI38" t="s">
        <v>481</v>
      </c>
      <c r="BJ38" t="s">
        <v>74</v>
      </c>
      <c r="BK38" t="s">
        <v>74</v>
      </c>
      <c r="BL38" t="s">
        <v>74</v>
      </c>
      <c r="BM38" t="s">
        <v>74</v>
      </c>
      <c r="BN38" t="s">
        <v>74</v>
      </c>
      <c r="BO38" t="s">
        <v>74</v>
      </c>
      <c r="BP38" t="s">
        <v>74</v>
      </c>
      <c r="BQ38" t="s">
        <v>74</v>
      </c>
      <c r="BR38" t="s">
        <v>74</v>
      </c>
      <c r="BS38" t="s">
        <v>86</v>
      </c>
      <c r="BT38" t="s">
        <v>482</v>
      </c>
      <c r="BU38" t="str">
        <f>HYPERLINK("https%3A%2F%2Fwww.webofscience.com%2Fwos%2Fwoscc%2Ffull-record%2FWOS:001483173700001","View Full Record in Web of Science")</f>
        <v>View Full Record in Web of Science</v>
      </c>
    </row>
    <row r="39" spans="1:73" ht="136" x14ac:dyDescent="0.2">
      <c r="A39" t="s">
        <v>72</v>
      </c>
      <c r="B39" t="s">
        <v>483</v>
      </c>
      <c r="C39" t="s">
        <v>74</v>
      </c>
      <c r="D39" t="s">
        <v>74</v>
      </c>
      <c r="E39" t="s">
        <v>74</v>
      </c>
      <c r="F39" t="s">
        <v>484</v>
      </c>
      <c r="G39" t="s">
        <v>74</v>
      </c>
      <c r="H39" t="s">
        <v>74</v>
      </c>
      <c r="I39" t="s">
        <v>485</v>
      </c>
      <c r="J39" t="s">
        <v>103</v>
      </c>
      <c r="K39" t="s">
        <v>74</v>
      </c>
      <c r="L39" t="s">
        <v>74</v>
      </c>
      <c r="M39" t="s">
        <v>74</v>
      </c>
      <c r="N39" t="s">
        <v>78</v>
      </c>
      <c r="O39" t="s">
        <v>74</v>
      </c>
      <c r="P39" t="s">
        <v>74</v>
      </c>
      <c r="Q39" t="s">
        <v>74</v>
      </c>
      <c r="R39" t="s">
        <v>74</v>
      </c>
      <c r="S39" t="s">
        <v>74</v>
      </c>
      <c r="T39" t="s">
        <v>74</v>
      </c>
      <c r="U39" t="s">
        <v>74</v>
      </c>
      <c r="V39" t="b">
        <v>1</v>
      </c>
      <c r="W39" s="1" t="s">
        <v>486</v>
      </c>
      <c r="X39" t="s">
        <v>487</v>
      </c>
      <c r="Y39" t="s">
        <v>74</v>
      </c>
      <c r="Z39" t="s">
        <v>488</v>
      </c>
      <c r="AA39" t="s">
        <v>489</v>
      </c>
      <c r="AB39" t="s">
        <v>74</v>
      </c>
      <c r="AC39" t="s">
        <v>74</v>
      </c>
      <c r="AD39" t="s">
        <v>74</v>
      </c>
      <c r="AE39" t="s">
        <v>74</v>
      </c>
      <c r="AF39" t="s">
        <v>74</v>
      </c>
      <c r="AG39" t="s">
        <v>74</v>
      </c>
      <c r="AH39" t="s">
        <v>74</v>
      </c>
      <c r="AI39">
        <v>35</v>
      </c>
      <c r="AJ39">
        <v>54</v>
      </c>
      <c r="AK39" t="s">
        <v>74</v>
      </c>
      <c r="AL39" t="s">
        <v>74</v>
      </c>
      <c r="AM39" t="s">
        <v>74</v>
      </c>
      <c r="AN39" t="s">
        <v>74</v>
      </c>
      <c r="AO39" t="s">
        <v>74</v>
      </c>
      <c r="AP39" t="s">
        <v>74</v>
      </c>
      <c r="AQ39" t="s">
        <v>74</v>
      </c>
      <c r="AR39" t="s">
        <v>74</v>
      </c>
      <c r="AS39" t="s">
        <v>74</v>
      </c>
      <c r="AT39" t="s">
        <v>74</v>
      </c>
      <c r="AU39" t="s">
        <v>425</v>
      </c>
      <c r="AV39">
        <v>2018</v>
      </c>
      <c r="AW39">
        <v>58</v>
      </c>
      <c r="AX39" t="s">
        <v>74</v>
      </c>
      <c r="AY39" t="s">
        <v>74</v>
      </c>
      <c r="AZ39" t="s">
        <v>74</v>
      </c>
      <c r="BA39" t="s">
        <v>456</v>
      </c>
      <c r="BB39" t="s">
        <v>74</v>
      </c>
      <c r="BC39">
        <v>202</v>
      </c>
      <c r="BD39">
        <v>218</v>
      </c>
      <c r="BE39" t="s">
        <v>74</v>
      </c>
      <c r="BF39" t="s">
        <v>490</v>
      </c>
      <c r="BG39" t="str">
        <f>HYPERLINK("http://dx.doi.org/10.1016/j.resourpol.2018.05.007","http://dx.doi.org/10.1016/j.resourpol.2018.05.007")</f>
        <v>http://dx.doi.org/10.1016/j.resourpol.2018.05.007</v>
      </c>
      <c r="BH39" t="s">
        <v>74</v>
      </c>
      <c r="BI39" t="s">
        <v>74</v>
      </c>
      <c r="BJ39" t="s">
        <v>74</v>
      </c>
      <c r="BK39" t="s">
        <v>74</v>
      </c>
      <c r="BL39" t="s">
        <v>74</v>
      </c>
      <c r="BM39" t="s">
        <v>74</v>
      </c>
      <c r="BN39" t="s">
        <v>74</v>
      </c>
      <c r="BO39" t="s">
        <v>74</v>
      </c>
      <c r="BP39" t="s">
        <v>74</v>
      </c>
      <c r="BQ39" t="s">
        <v>74</v>
      </c>
      <c r="BR39" t="s">
        <v>74</v>
      </c>
      <c r="BS39" t="s">
        <v>86</v>
      </c>
      <c r="BT39" t="s">
        <v>491</v>
      </c>
      <c r="BU39" t="str">
        <f>HYPERLINK("https%3A%2F%2Fwww.webofscience.com%2Fwos%2Fwoscc%2Ffull-record%2FWOS:000447105800020","View Full Record in Web of Science")</f>
        <v>View Full Record in Web of Science</v>
      </c>
    </row>
    <row r="40" spans="1:73" ht="153" x14ac:dyDescent="0.2">
      <c r="A40" t="s">
        <v>72</v>
      </c>
      <c r="B40" t="s">
        <v>492</v>
      </c>
      <c r="C40" t="s">
        <v>74</v>
      </c>
      <c r="D40" t="s">
        <v>74</v>
      </c>
      <c r="E40" t="s">
        <v>74</v>
      </c>
      <c r="F40" t="s">
        <v>493</v>
      </c>
      <c r="G40" t="s">
        <v>74</v>
      </c>
      <c r="H40" t="s">
        <v>74</v>
      </c>
      <c r="I40" t="s">
        <v>494</v>
      </c>
      <c r="J40" t="s">
        <v>495</v>
      </c>
      <c r="K40" t="s">
        <v>74</v>
      </c>
      <c r="L40" t="s">
        <v>74</v>
      </c>
      <c r="M40" t="s">
        <v>74</v>
      </c>
      <c r="N40" t="s">
        <v>78</v>
      </c>
      <c r="O40" t="s">
        <v>74</v>
      </c>
      <c r="P40" t="s">
        <v>74</v>
      </c>
      <c r="Q40" t="s">
        <v>74</v>
      </c>
      <c r="R40" t="s">
        <v>74</v>
      </c>
      <c r="S40" t="s">
        <v>74</v>
      </c>
      <c r="T40" t="s">
        <v>74</v>
      </c>
      <c r="U40" t="s">
        <v>74</v>
      </c>
      <c r="V40" t="b">
        <v>0</v>
      </c>
      <c r="W40" s="1" t="s">
        <v>496</v>
      </c>
      <c r="X40" t="s">
        <v>497</v>
      </c>
      <c r="Y40" t="s">
        <v>74</v>
      </c>
      <c r="Z40" t="s">
        <v>498</v>
      </c>
      <c r="AA40" t="s">
        <v>499</v>
      </c>
      <c r="AB40" t="s">
        <v>74</v>
      </c>
      <c r="AC40" t="s">
        <v>74</v>
      </c>
      <c r="AD40" t="s">
        <v>74</v>
      </c>
      <c r="AE40" t="s">
        <v>74</v>
      </c>
      <c r="AF40" t="s">
        <v>74</v>
      </c>
      <c r="AG40" t="s">
        <v>74</v>
      </c>
      <c r="AH40" t="s">
        <v>74</v>
      </c>
      <c r="AI40">
        <v>26</v>
      </c>
      <c r="AJ40">
        <v>27</v>
      </c>
      <c r="AK40" t="s">
        <v>74</v>
      </c>
      <c r="AL40" t="s">
        <v>74</v>
      </c>
      <c r="AM40" t="s">
        <v>74</v>
      </c>
      <c r="AN40" t="s">
        <v>74</v>
      </c>
      <c r="AO40" t="s">
        <v>74</v>
      </c>
      <c r="AP40" t="s">
        <v>74</v>
      </c>
      <c r="AQ40" t="s">
        <v>74</v>
      </c>
      <c r="AR40" t="s">
        <v>74</v>
      </c>
      <c r="AS40" t="s">
        <v>74</v>
      </c>
      <c r="AT40" t="s">
        <v>74</v>
      </c>
      <c r="AU40" t="s">
        <v>500</v>
      </c>
      <c r="AV40">
        <v>2020</v>
      </c>
      <c r="AW40">
        <v>8</v>
      </c>
      <c r="AX40" t="s">
        <v>74</v>
      </c>
      <c r="AY40" t="s">
        <v>74</v>
      </c>
      <c r="AZ40" t="s">
        <v>74</v>
      </c>
      <c r="BA40" t="s">
        <v>74</v>
      </c>
      <c r="BB40" t="s">
        <v>74</v>
      </c>
      <c r="BC40" t="s">
        <v>74</v>
      </c>
      <c r="BD40" t="s">
        <v>74</v>
      </c>
      <c r="BE40">
        <v>594857</v>
      </c>
      <c r="BF40" t="s">
        <v>501</v>
      </c>
      <c r="BG40" t="str">
        <f>HYPERLINK("http://dx.doi.org/10.3389/fenrg.2020.594857","http://dx.doi.org/10.3389/fenrg.2020.594857")</f>
        <v>http://dx.doi.org/10.3389/fenrg.2020.594857</v>
      </c>
      <c r="BH40" t="s">
        <v>74</v>
      </c>
      <c r="BI40" t="s">
        <v>74</v>
      </c>
      <c r="BJ40" t="s">
        <v>74</v>
      </c>
      <c r="BK40" t="s">
        <v>74</v>
      </c>
      <c r="BL40" t="s">
        <v>74</v>
      </c>
      <c r="BM40" t="s">
        <v>74</v>
      </c>
      <c r="BN40" t="s">
        <v>74</v>
      </c>
      <c r="BO40" t="s">
        <v>74</v>
      </c>
      <c r="BP40" t="s">
        <v>74</v>
      </c>
      <c r="BQ40" t="s">
        <v>74</v>
      </c>
      <c r="BR40" t="s">
        <v>74</v>
      </c>
      <c r="BS40" t="s">
        <v>86</v>
      </c>
      <c r="BT40" t="s">
        <v>502</v>
      </c>
      <c r="BU40" t="str">
        <f>HYPERLINK("https%3A%2F%2Fwww.webofscience.com%2Fwos%2Fwoscc%2Ffull-record%2FWOS:000599627300001","View Full Record in Web of Science")</f>
        <v>View Full Record in Web of Science</v>
      </c>
    </row>
    <row r="41" spans="1:73" ht="187" x14ac:dyDescent="0.2">
      <c r="A41" t="s">
        <v>72</v>
      </c>
      <c r="B41" t="s">
        <v>503</v>
      </c>
      <c r="C41" t="s">
        <v>74</v>
      </c>
      <c r="D41" t="s">
        <v>74</v>
      </c>
      <c r="E41" t="s">
        <v>74</v>
      </c>
      <c r="F41" t="s">
        <v>504</v>
      </c>
      <c r="G41" t="s">
        <v>74</v>
      </c>
      <c r="H41" t="s">
        <v>74</v>
      </c>
      <c r="I41" t="s">
        <v>505</v>
      </c>
      <c r="J41" t="s">
        <v>103</v>
      </c>
      <c r="K41" t="s">
        <v>74</v>
      </c>
      <c r="L41" t="s">
        <v>74</v>
      </c>
      <c r="M41" t="s">
        <v>74</v>
      </c>
      <c r="N41" t="s">
        <v>78</v>
      </c>
      <c r="O41" t="s">
        <v>74</v>
      </c>
      <c r="P41" t="s">
        <v>74</v>
      </c>
      <c r="Q41" t="s">
        <v>74</v>
      </c>
      <c r="R41" t="s">
        <v>74</v>
      </c>
      <c r="S41" t="s">
        <v>74</v>
      </c>
      <c r="T41" t="s">
        <v>74</v>
      </c>
      <c r="U41" t="s">
        <v>74</v>
      </c>
      <c r="V41" t="b">
        <v>0</v>
      </c>
      <c r="W41" s="1" t="s">
        <v>506</v>
      </c>
      <c r="X41" t="s">
        <v>507</v>
      </c>
      <c r="Y41" t="s">
        <v>74</v>
      </c>
      <c r="Z41" t="s">
        <v>508</v>
      </c>
      <c r="AA41" t="s">
        <v>509</v>
      </c>
      <c r="AB41" t="s">
        <v>74</v>
      </c>
      <c r="AC41" t="s">
        <v>74</v>
      </c>
      <c r="AD41" t="s">
        <v>74</v>
      </c>
      <c r="AE41" t="s">
        <v>74</v>
      </c>
      <c r="AF41" t="s">
        <v>74</v>
      </c>
      <c r="AG41" t="s">
        <v>74</v>
      </c>
      <c r="AH41" t="s">
        <v>74</v>
      </c>
      <c r="AI41">
        <v>64</v>
      </c>
      <c r="AJ41">
        <v>88</v>
      </c>
      <c r="AK41" t="s">
        <v>74</v>
      </c>
      <c r="AL41" t="s">
        <v>74</v>
      </c>
      <c r="AM41" t="s">
        <v>74</v>
      </c>
      <c r="AN41" t="s">
        <v>74</v>
      </c>
      <c r="AO41" t="s">
        <v>74</v>
      </c>
      <c r="AP41" t="s">
        <v>74</v>
      </c>
      <c r="AQ41" t="s">
        <v>74</v>
      </c>
      <c r="AR41" t="s">
        <v>74</v>
      </c>
      <c r="AS41" t="s">
        <v>74</v>
      </c>
      <c r="AT41" t="s">
        <v>74</v>
      </c>
      <c r="AU41" t="s">
        <v>179</v>
      </c>
      <c r="AV41">
        <v>2022</v>
      </c>
      <c r="AW41">
        <v>79</v>
      </c>
      <c r="AX41" t="s">
        <v>74</v>
      </c>
      <c r="AY41" t="s">
        <v>74</v>
      </c>
      <c r="AZ41" t="s">
        <v>74</v>
      </c>
      <c r="BA41" t="s">
        <v>74</v>
      </c>
      <c r="BB41" t="s">
        <v>74</v>
      </c>
      <c r="BC41" t="s">
        <v>74</v>
      </c>
      <c r="BD41" t="s">
        <v>74</v>
      </c>
      <c r="BE41">
        <v>103007</v>
      </c>
      <c r="BF41" t="s">
        <v>510</v>
      </c>
      <c r="BG41" t="str">
        <f>HYPERLINK("http://dx.doi.org/10.1016/j.resourpol.2022.103007","http://dx.doi.org/10.1016/j.resourpol.2022.103007")</f>
        <v>http://dx.doi.org/10.1016/j.resourpol.2022.103007</v>
      </c>
      <c r="BH41" t="s">
        <v>74</v>
      </c>
      <c r="BI41" t="s">
        <v>470</v>
      </c>
      <c r="BJ41" t="s">
        <v>74</v>
      </c>
      <c r="BK41" t="s">
        <v>74</v>
      </c>
      <c r="BL41" t="s">
        <v>74</v>
      </c>
      <c r="BM41" t="s">
        <v>74</v>
      </c>
      <c r="BN41" t="s">
        <v>74</v>
      </c>
      <c r="BO41" t="s">
        <v>74</v>
      </c>
      <c r="BP41" t="s">
        <v>74</v>
      </c>
      <c r="BQ41" t="s">
        <v>74</v>
      </c>
      <c r="BR41" t="s">
        <v>74</v>
      </c>
      <c r="BS41" t="s">
        <v>86</v>
      </c>
      <c r="BT41" t="s">
        <v>511</v>
      </c>
      <c r="BU41" t="str">
        <f>HYPERLINK("https%3A%2F%2Fwww.webofscience.com%2Fwos%2Fwoscc%2Ffull-record%2FWOS:000867670600002","View Full Record in Web of Science")</f>
        <v>View Full Record in Web of Science</v>
      </c>
    </row>
    <row r="42" spans="1:73" ht="153" x14ac:dyDescent="0.2">
      <c r="A42" t="s">
        <v>72</v>
      </c>
      <c r="B42" t="s">
        <v>512</v>
      </c>
      <c r="C42" t="s">
        <v>74</v>
      </c>
      <c r="D42" t="s">
        <v>74</v>
      </c>
      <c r="E42" t="s">
        <v>74</v>
      </c>
      <c r="F42" t="s">
        <v>513</v>
      </c>
      <c r="G42" t="s">
        <v>74</v>
      </c>
      <c r="H42" t="s">
        <v>74</v>
      </c>
      <c r="I42" t="s">
        <v>514</v>
      </c>
      <c r="J42" t="s">
        <v>515</v>
      </c>
      <c r="K42" t="s">
        <v>74</v>
      </c>
      <c r="L42" t="s">
        <v>74</v>
      </c>
      <c r="M42" t="s">
        <v>74</v>
      </c>
      <c r="N42" t="s">
        <v>78</v>
      </c>
      <c r="O42" t="s">
        <v>74</v>
      </c>
      <c r="P42" t="s">
        <v>74</v>
      </c>
      <c r="Q42" t="s">
        <v>74</v>
      </c>
      <c r="R42" t="s">
        <v>74</v>
      </c>
      <c r="S42" t="s">
        <v>74</v>
      </c>
      <c r="T42" t="s">
        <v>74</v>
      </c>
      <c r="U42" t="s">
        <v>74</v>
      </c>
      <c r="V42" t="b">
        <v>0</v>
      </c>
      <c r="W42" s="1" t="s">
        <v>516</v>
      </c>
      <c r="X42" t="s">
        <v>517</v>
      </c>
      <c r="Y42" t="s">
        <v>74</v>
      </c>
      <c r="Z42" t="s">
        <v>518</v>
      </c>
      <c r="AA42" t="s">
        <v>519</v>
      </c>
      <c r="AB42" t="s">
        <v>74</v>
      </c>
      <c r="AC42" t="s">
        <v>74</v>
      </c>
      <c r="AD42" t="s">
        <v>74</v>
      </c>
      <c r="AE42" t="s">
        <v>74</v>
      </c>
      <c r="AF42" t="s">
        <v>74</v>
      </c>
      <c r="AG42" t="s">
        <v>74</v>
      </c>
      <c r="AH42" t="s">
        <v>74</v>
      </c>
      <c r="AI42">
        <v>38</v>
      </c>
      <c r="AJ42">
        <v>40</v>
      </c>
      <c r="AK42" t="s">
        <v>74</v>
      </c>
      <c r="AL42" t="s">
        <v>74</v>
      </c>
      <c r="AM42" t="s">
        <v>74</v>
      </c>
      <c r="AN42" t="s">
        <v>74</v>
      </c>
      <c r="AO42" t="s">
        <v>74</v>
      </c>
      <c r="AP42" t="s">
        <v>74</v>
      </c>
      <c r="AQ42" t="s">
        <v>74</v>
      </c>
      <c r="AR42" t="s">
        <v>74</v>
      </c>
      <c r="AS42" t="s">
        <v>74</v>
      </c>
      <c r="AT42" t="s">
        <v>74</v>
      </c>
      <c r="AU42" t="s">
        <v>520</v>
      </c>
      <c r="AV42">
        <v>2024</v>
      </c>
      <c r="AW42">
        <v>62</v>
      </c>
      <c r="AX42" t="s">
        <v>74</v>
      </c>
      <c r="AY42" t="s">
        <v>74</v>
      </c>
      <c r="AZ42" t="s">
        <v>74</v>
      </c>
      <c r="BA42" t="s">
        <v>74</v>
      </c>
      <c r="BB42" t="s">
        <v>74</v>
      </c>
      <c r="BC42">
        <v>867</v>
      </c>
      <c r="BD42">
        <v>882</v>
      </c>
      <c r="BE42" t="s">
        <v>74</v>
      </c>
      <c r="BF42" t="s">
        <v>521</v>
      </c>
      <c r="BG42" t="str">
        <f>HYPERLINK("http://dx.doi.org/10.1016/j.ijhydene.2024.03.105","http://dx.doi.org/10.1016/j.ijhydene.2024.03.105")</f>
        <v>http://dx.doi.org/10.1016/j.ijhydene.2024.03.105</v>
      </c>
      <c r="BH42" t="s">
        <v>74</v>
      </c>
      <c r="BI42" t="s">
        <v>406</v>
      </c>
      <c r="BJ42" t="s">
        <v>74</v>
      </c>
      <c r="BK42" t="s">
        <v>74</v>
      </c>
      <c r="BL42" t="s">
        <v>74</v>
      </c>
      <c r="BM42" t="s">
        <v>74</v>
      </c>
      <c r="BN42" t="s">
        <v>74</v>
      </c>
      <c r="BO42" t="s">
        <v>74</v>
      </c>
      <c r="BP42" t="s">
        <v>74</v>
      </c>
      <c r="BQ42" t="s">
        <v>74</v>
      </c>
      <c r="BR42" t="s">
        <v>74</v>
      </c>
      <c r="BS42" t="s">
        <v>86</v>
      </c>
      <c r="BT42" t="s">
        <v>522</v>
      </c>
      <c r="BU42" t="str">
        <f>HYPERLINK("https%3A%2F%2Fwww.webofscience.com%2Fwos%2Fwoscc%2Ffull-record%2FWOS:001236934300001","View Full Record in Web of Science")</f>
        <v>View Full Record in Web of Science</v>
      </c>
    </row>
    <row r="43" spans="1:73" ht="204" x14ac:dyDescent="0.2">
      <c r="A43" t="s">
        <v>72</v>
      </c>
      <c r="B43" t="s">
        <v>523</v>
      </c>
      <c r="C43" t="s">
        <v>74</v>
      </c>
      <c r="D43" t="s">
        <v>74</v>
      </c>
      <c r="E43" t="s">
        <v>74</v>
      </c>
      <c r="F43" t="s">
        <v>524</v>
      </c>
      <c r="G43" t="s">
        <v>74</v>
      </c>
      <c r="H43" t="s">
        <v>74</v>
      </c>
      <c r="I43" t="s">
        <v>525</v>
      </c>
      <c r="J43" t="s">
        <v>526</v>
      </c>
      <c r="K43" t="s">
        <v>74</v>
      </c>
      <c r="L43" t="s">
        <v>74</v>
      </c>
      <c r="M43" t="s">
        <v>74</v>
      </c>
      <c r="N43" t="s">
        <v>452</v>
      </c>
      <c r="O43" t="s">
        <v>74</v>
      </c>
      <c r="P43" t="s">
        <v>74</v>
      </c>
      <c r="Q43" t="s">
        <v>74</v>
      </c>
      <c r="R43" t="s">
        <v>74</v>
      </c>
      <c r="S43" t="s">
        <v>74</v>
      </c>
      <c r="T43" t="s">
        <v>74</v>
      </c>
      <c r="U43" t="s">
        <v>74</v>
      </c>
      <c r="V43" t="b">
        <v>0</v>
      </c>
      <c r="W43" s="1" t="s">
        <v>527</v>
      </c>
      <c r="X43" t="s">
        <v>528</v>
      </c>
      <c r="Y43" t="s">
        <v>74</v>
      </c>
      <c r="Z43" t="s">
        <v>529</v>
      </c>
      <c r="AA43" t="s">
        <v>530</v>
      </c>
      <c r="AB43" t="s">
        <v>74</v>
      </c>
      <c r="AC43" t="s">
        <v>74</v>
      </c>
      <c r="AD43" t="s">
        <v>74</v>
      </c>
      <c r="AE43" t="s">
        <v>74</v>
      </c>
      <c r="AF43" t="s">
        <v>74</v>
      </c>
      <c r="AG43" t="s">
        <v>74</v>
      </c>
      <c r="AH43" t="s">
        <v>74</v>
      </c>
      <c r="AI43">
        <v>0</v>
      </c>
      <c r="AJ43">
        <v>0</v>
      </c>
      <c r="AK43" t="s">
        <v>74</v>
      </c>
      <c r="AL43" t="s">
        <v>74</v>
      </c>
      <c r="AM43" t="s">
        <v>74</v>
      </c>
      <c r="AN43" t="s">
        <v>74</v>
      </c>
      <c r="AO43" t="s">
        <v>74</v>
      </c>
      <c r="AP43" t="s">
        <v>74</v>
      </c>
      <c r="AQ43" t="s">
        <v>74</v>
      </c>
      <c r="AR43" t="s">
        <v>74</v>
      </c>
      <c r="AS43" t="s">
        <v>74</v>
      </c>
      <c r="AT43" t="s">
        <v>74</v>
      </c>
      <c r="AU43" t="s">
        <v>83</v>
      </c>
      <c r="AV43">
        <v>2026</v>
      </c>
      <c r="AW43">
        <v>43</v>
      </c>
      <c r="AX43">
        <v>2</v>
      </c>
      <c r="AY43" t="s">
        <v>74</v>
      </c>
      <c r="AZ43" t="s">
        <v>74</v>
      </c>
      <c r="BA43" t="s">
        <v>456</v>
      </c>
      <c r="BB43" t="s">
        <v>74</v>
      </c>
      <c r="BC43">
        <v>1659</v>
      </c>
      <c r="BD43">
        <v>1690</v>
      </c>
      <c r="BE43" t="s">
        <v>74</v>
      </c>
      <c r="BF43" t="s">
        <v>531</v>
      </c>
      <c r="BG43" t="str">
        <f>HYPERLINK("http://dx.doi.org/10.1007/s42461-026-01492-5","http://dx.doi.org/10.1007/s42461-026-01492-5")</f>
        <v>http://dx.doi.org/10.1007/s42461-026-01492-5</v>
      </c>
      <c r="BH43" t="s">
        <v>74</v>
      </c>
      <c r="BI43" t="s">
        <v>192</v>
      </c>
      <c r="BJ43" t="s">
        <v>74</v>
      </c>
      <c r="BK43" t="s">
        <v>74</v>
      </c>
      <c r="BL43" t="s">
        <v>74</v>
      </c>
      <c r="BM43" t="s">
        <v>74</v>
      </c>
      <c r="BN43" t="s">
        <v>74</v>
      </c>
      <c r="BO43" t="s">
        <v>74</v>
      </c>
      <c r="BP43" t="s">
        <v>74</v>
      </c>
      <c r="BQ43" t="s">
        <v>74</v>
      </c>
      <c r="BR43" t="s">
        <v>74</v>
      </c>
      <c r="BS43" t="s">
        <v>86</v>
      </c>
      <c r="BT43" t="s">
        <v>532</v>
      </c>
      <c r="BU43" t="str">
        <f>HYPERLINK("https%3A%2F%2Fwww.webofscience.com%2Fwos%2Fwoscc%2Ffull-record%2FWOS:001702001600001","View Full Record in Web of Science")</f>
        <v>View Full Record in Web of Science</v>
      </c>
    </row>
    <row r="44" spans="1:73" ht="153" x14ac:dyDescent="0.2">
      <c r="A44" t="s">
        <v>72</v>
      </c>
      <c r="B44" t="s">
        <v>533</v>
      </c>
      <c r="C44" t="s">
        <v>74</v>
      </c>
      <c r="D44" t="s">
        <v>74</v>
      </c>
      <c r="E44" t="s">
        <v>74</v>
      </c>
      <c r="F44" t="s">
        <v>534</v>
      </c>
      <c r="G44" t="s">
        <v>74</v>
      </c>
      <c r="H44" t="s">
        <v>74</v>
      </c>
      <c r="I44" t="s">
        <v>535</v>
      </c>
      <c r="J44" t="s">
        <v>536</v>
      </c>
      <c r="K44" t="s">
        <v>74</v>
      </c>
      <c r="L44" t="s">
        <v>74</v>
      </c>
      <c r="M44" t="s">
        <v>74</v>
      </c>
      <c r="N44" t="s">
        <v>78</v>
      </c>
      <c r="O44" t="s">
        <v>74</v>
      </c>
      <c r="P44" t="s">
        <v>74</v>
      </c>
      <c r="Q44" t="s">
        <v>74</v>
      </c>
      <c r="R44" t="s">
        <v>74</v>
      </c>
      <c r="S44" t="s">
        <v>74</v>
      </c>
      <c r="T44" t="s">
        <v>74</v>
      </c>
      <c r="U44" t="s">
        <v>74</v>
      </c>
      <c r="V44" t="b">
        <v>0</v>
      </c>
      <c r="W44" s="1" t="s">
        <v>537</v>
      </c>
      <c r="X44" t="s">
        <v>538</v>
      </c>
      <c r="Y44" t="s">
        <v>74</v>
      </c>
      <c r="Z44" t="s">
        <v>539</v>
      </c>
      <c r="AA44" t="s">
        <v>540</v>
      </c>
      <c r="AB44" t="s">
        <v>74</v>
      </c>
      <c r="AC44" t="s">
        <v>74</v>
      </c>
      <c r="AD44" t="s">
        <v>74</v>
      </c>
      <c r="AE44" t="s">
        <v>74</v>
      </c>
      <c r="AF44" t="s">
        <v>74</v>
      </c>
      <c r="AG44" t="s">
        <v>74</v>
      </c>
      <c r="AH44" t="s">
        <v>74</v>
      </c>
      <c r="AI44">
        <v>7</v>
      </c>
      <c r="AJ44">
        <v>8</v>
      </c>
      <c r="AK44" t="s">
        <v>74</v>
      </c>
      <c r="AL44" t="s">
        <v>74</v>
      </c>
      <c r="AM44" t="s">
        <v>74</v>
      </c>
      <c r="AN44" t="s">
        <v>74</v>
      </c>
      <c r="AO44" t="s">
        <v>74</v>
      </c>
      <c r="AP44" t="s">
        <v>74</v>
      </c>
      <c r="AQ44" t="s">
        <v>74</v>
      </c>
      <c r="AR44" t="s">
        <v>74</v>
      </c>
      <c r="AS44" t="s">
        <v>74</v>
      </c>
      <c r="AT44" t="s">
        <v>74</v>
      </c>
      <c r="AU44" t="s">
        <v>155</v>
      </c>
      <c r="AV44">
        <v>2025</v>
      </c>
      <c r="AW44">
        <v>127</v>
      </c>
      <c r="AX44" t="s">
        <v>74</v>
      </c>
      <c r="AY44" t="s">
        <v>74</v>
      </c>
      <c r="AZ44" t="s">
        <v>74</v>
      </c>
      <c r="BA44" t="s">
        <v>74</v>
      </c>
      <c r="BB44" t="s">
        <v>74</v>
      </c>
      <c r="BC44" t="s">
        <v>74</v>
      </c>
      <c r="BD44" t="s">
        <v>74</v>
      </c>
      <c r="BE44">
        <v>104247</v>
      </c>
      <c r="BF44" t="s">
        <v>541</v>
      </c>
      <c r="BG44" t="str">
        <f>HYPERLINK("http://dx.doi.org/10.1016/j.erss.2025.104247","http://dx.doi.org/10.1016/j.erss.2025.104247")</f>
        <v>http://dx.doi.org/10.1016/j.erss.2025.104247</v>
      </c>
      <c r="BH44" t="s">
        <v>74</v>
      </c>
      <c r="BI44" t="s">
        <v>542</v>
      </c>
      <c r="BJ44" t="s">
        <v>74</v>
      </c>
      <c r="BK44" t="s">
        <v>74</v>
      </c>
      <c r="BL44" t="s">
        <v>74</v>
      </c>
      <c r="BM44" t="s">
        <v>74</v>
      </c>
      <c r="BN44" t="s">
        <v>74</v>
      </c>
      <c r="BO44" t="s">
        <v>74</v>
      </c>
      <c r="BP44" t="s">
        <v>74</v>
      </c>
      <c r="BQ44" t="s">
        <v>74</v>
      </c>
      <c r="BR44" t="s">
        <v>74</v>
      </c>
      <c r="BS44" t="s">
        <v>86</v>
      </c>
      <c r="BT44" t="s">
        <v>543</v>
      </c>
      <c r="BU44" t="str">
        <f>HYPERLINK("https%3A%2F%2Fwww.webofscience.com%2Fwos%2Fwoscc%2Ffull-record%2FWOS:001548944600001","View Full Record in Web of Science")</f>
        <v>View Full Record in Web of Science</v>
      </c>
    </row>
    <row r="45" spans="1:73" ht="136" x14ac:dyDescent="0.2">
      <c r="A45" t="s">
        <v>72</v>
      </c>
      <c r="B45" t="s">
        <v>544</v>
      </c>
      <c r="C45" t="s">
        <v>74</v>
      </c>
      <c r="D45" t="s">
        <v>74</v>
      </c>
      <c r="E45" t="s">
        <v>74</v>
      </c>
      <c r="F45" t="s">
        <v>545</v>
      </c>
      <c r="G45" t="s">
        <v>74</v>
      </c>
      <c r="H45" t="s">
        <v>74</v>
      </c>
      <c r="I45" t="s">
        <v>546</v>
      </c>
      <c r="J45" t="s">
        <v>547</v>
      </c>
      <c r="K45" t="s">
        <v>74</v>
      </c>
      <c r="L45" t="s">
        <v>74</v>
      </c>
      <c r="M45" t="s">
        <v>74</v>
      </c>
      <c r="N45" t="s">
        <v>78</v>
      </c>
      <c r="O45" t="s">
        <v>74</v>
      </c>
      <c r="P45" t="s">
        <v>74</v>
      </c>
      <c r="Q45" t="s">
        <v>74</v>
      </c>
      <c r="R45" t="s">
        <v>74</v>
      </c>
      <c r="S45" t="s">
        <v>74</v>
      </c>
      <c r="T45" t="s">
        <v>74</v>
      </c>
      <c r="U45" t="s">
        <v>74</v>
      </c>
      <c r="V45" t="b">
        <v>0</v>
      </c>
      <c r="W45" s="1" t="s">
        <v>548</v>
      </c>
      <c r="X45" t="s">
        <v>549</v>
      </c>
      <c r="Y45" t="s">
        <v>74</v>
      </c>
      <c r="Z45" t="s">
        <v>550</v>
      </c>
      <c r="AA45" t="s">
        <v>551</v>
      </c>
      <c r="AB45" t="s">
        <v>74</v>
      </c>
      <c r="AC45" t="s">
        <v>74</v>
      </c>
      <c r="AD45" t="s">
        <v>74</v>
      </c>
      <c r="AE45" t="s">
        <v>74</v>
      </c>
      <c r="AF45" t="s">
        <v>74</v>
      </c>
      <c r="AG45" t="s">
        <v>74</v>
      </c>
      <c r="AH45" t="s">
        <v>74</v>
      </c>
      <c r="AI45">
        <v>9</v>
      </c>
      <c r="AJ45">
        <v>9</v>
      </c>
      <c r="AK45" t="s">
        <v>74</v>
      </c>
      <c r="AL45" t="s">
        <v>74</v>
      </c>
      <c r="AM45" t="s">
        <v>74</v>
      </c>
      <c r="AN45" t="s">
        <v>74</v>
      </c>
      <c r="AO45" t="s">
        <v>74</v>
      </c>
      <c r="AP45" t="s">
        <v>74</v>
      </c>
      <c r="AQ45" t="s">
        <v>74</v>
      </c>
      <c r="AR45" t="s">
        <v>74</v>
      </c>
      <c r="AS45" t="s">
        <v>74</v>
      </c>
      <c r="AT45" t="s">
        <v>74</v>
      </c>
      <c r="AU45" t="s">
        <v>179</v>
      </c>
      <c r="AV45">
        <v>2024</v>
      </c>
      <c r="AW45">
        <v>8</v>
      </c>
      <c r="AX45">
        <v>12</v>
      </c>
      <c r="AY45" t="s">
        <v>74</v>
      </c>
      <c r="AZ45" t="s">
        <v>74</v>
      </c>
      <c r="BA45" t="s">
        <v>74</v>
      </c>
      <c r="BB45" t="s">
        <v>74</v>
      </c>
      <c r="BC45" t="s">
        <v>74</v>
      </c>
      <c r="BD45" t="s">
        <v>74</v>
      </c>
      <c r="BE45" t="s">
        <v>74</v>
      </c>
      <c r="BF45" t="s">
        <v>552</v>
      </c>
      <c r="BG45" t="str">
        <f>HYPERLINK("http://dx.doi.org/10.1002/gch2.202400250","http://dx.doi.org/10.1002/gch2.202400250")</f>
        <v>http://dx.doi.org/10.1002/gch2.202400250</v>
      </c>
      <c r="BH45" t="s">
        <v>74</v>
      </c>
      <c r="BI45" t="s">
        <v>553</v>
      </c>
      <c r="BJ45" t="s">
        <v>74</v>
      </c>
      <c r="BK45" t="s">
        <v>74</v>
      </c>
      <c r="BL45" t="s">
        <v>74</v>
      </c>
      <c r="BM45" t="s">
        <v>74</v>
      </c>
      <c r="BN45" t="s">
        <v>74</v>
      </c>
      <c r="BO45" t="s">
        <v>74</v>
      </c>
      <c r="BP45" t="s">
        <v>74</v>
      </c>
      <c r="BQ45" t="s">
        <v>74</v>
      </c>
      <c r="BR45" t="s">
        <v>74</v>
      </c>
      <c r="BS45" t="s">
        <v>86</v>
      </c>
      <c r="BT45" t="s">
        <v>554</v>
      </c>
      <c r="BU45" t="str">
        <f>HYPERLINK("https%3A%2F%2Fwww.webofscience.com%2Fwos%2Fwoscc%2Ffull-record%2FWOS:001354155600001","View Full Record in Web of Science")</f>
        <v>View Full Record in Web of Science</v>
      </c>
    </row>
    <row r="46" spans="1:73" ht="153" x14ac:dyDescent="0.2">
      <c r="A46" t="s">
        <v>72</v>
      </c>
      <c r="B46" t="s">
        <v>555</v>
      </c>
      <c r="C46" t="s">
        <v>74</v>
      </c>
      <c r="D46" t="s">
        <v>74</v>
      </c>
      <c r="E46" t="s">
        <v>74</v>
      </c>
      <c r="F46" t="s">
        <v>556</v>
      </c>
      <c r="G46" t="s">
        <v>74</v>
      </c>
      <c r="H46" t="s">
        <v>74</v>
      </c>
      <c r="I46" t="s">
        <v>557</v>
      </c>
      <c r="J46" t="s">
        <v>558</v>
      </c>
      <c r="K46" t="s">
        <v>74</v>
      </c>
      <c r="L46" t="s">
        <v>74</v>
      </c>
      <c r="M46" t="s">
        <v>74</v>
      </c>
      <c r="N46" t="s">
        <v>452</v>
      </c>
      <c r="O46" t="s">
        <v>74</v>
      </c>
      <c r="P46" t="s">
        <v>74</v>
      </c>
      <c r="Q46" t="s">
        <v>74</v>
      </c>
      <c r="R46" t="s">
        <v>74</v>
      </c>
      <c r="S46" t="s">
        <v>74</v>
      </c>
      <c r="T46" t="s">
        <v>74</v>
      </c>
      <c r="U46" t="s">
        <v>74</v>
      </c>
      <c r="V46" t="b">
        <v>0</v>
      </c>
      <c r="W46" s="1" t="s">
        <v>559</v>
      </c>
      <c r="X46" t="s">
        <v>560</v>
      </c>
      <c r="Y46" t="s">
        <v>74</v>
      </c>
      <c r="Z46" t="s">
        <v>561</v>
      </c>
      <c r="AA46" t="s">
        <v>562</v>
      </c>
      <c r="AB46" t="s">
        <v>74</v>
      </c>
      <c r="AC46" t="s">
        <v>74</v>
      </c>
      <c r="AD46" t="s">
        <v>74</v>
      </c>
      <c r="AE46" t="s">
        <v>74</v>
      </c>
      <c r="AF46" t="s">
        <v>74</v>
      </c>
      <c r="AG46" t="s">
        <v>74</v>
      </c>
      <c r="AH46" t="s">
        <v>74</v>
      </c>
      <c r="AI46">
        <v>2</v>
      </c>
      <c r="AJ46">
        <v>2</v>
      </c>
      <c r="AK46" t="s">
        <v>74</v>
      </c>
      <c r="AL46" t="s">
        <v>74</v>
      </c>
      <c r="AM46" t="s">
        <v>74</v>
      </c>
      <c r="AN46" t="s">
        <v>74</v>
      </c>
      <c r="AO46" t="s">
        <v>74</v>
      </c>
      <c r="AP46" t="s">
        <v>74</v>
      </c>
      <c r="AQ46" t="s">
        <v>74</v>
      </c>
      <c r="AR46" t="s">
        <v>74</v>
      </c>
      <c r="AS46" t="s">
        <v>74</v>
      </c>
      <c r="AT46" t="s">
        <v>74</v>
      </c>
      <c r="AU46" t="s">
        <v>563</v>
      </c>
      <c r="AV46">
        <v>2025</v>
      </c>
      <c r="AW46">
        <v>18</v>
      </c>
      <c r="AX46">
        <v>13</v>
      </c>
      <c r="AY46" t="s">
        <v>74</v>
      </c>
      <c r="AZ46" t="s">
        <v>74</v>
      </c>
      <c r="BA46" t="s">
        <v>74</v>
      </c>
      <c r="BB46" t="s">
        <v>74</v>
      </c>
      <c r="BC46" t="s">
        <v>74</v>
      </c>
      <c r="BD46" t="s">
        <v>74</v>
      </c>
      <c r="BE46">
        <v>3401</v>
      </c>
      <c r="BF46" t="s">
        <v>564</v>
      </c>
      <c r="BG46" t="str">
        <f>HYPERLINK("http://dx.doi.org/10.3390/en18133401","http://dx.doi.org/10.3390/en18133401")</f>
        <v>http://dx.doi.org/10.3390/en18133401</v>
      </c>
      <c r="BH46" t="s">
        <v>74</v>
      </c>
      <c r="BI46" t="s">
        <v>74</v>
      </c>
      <c r="BJ46" t="s">
        <v>74</v>
      </c>
      <c r="BK46" t="s">
        <v>74</v>
      </c>
      <c r="BL46" t="s">
        <v>74</v>
      </c>
      <c r="BM46" t="s">
        <v>74</v>
      </c>
      <c r="BN46" t="s">
        <v>74</v>
      </c>
      <c r="BO46" t="s">
        <v>74</v>
      </c>
      <c r="BP46" t="s">
        <v>74</v>
      </c>
      <c r="BQ46" t="s">
        <v>74</v>
      </c>
      <c r="BR46" t="s">
        <v>74</v>
      </c>
      <c r="BS46" t="s">
        <v>86</v>
      </c>
      <c r="BT46" t="s">
        <v>565</v>
      </c>
      <c r="BU46" t="str">
        <f>HYPERLINK("https%3A%2F%2Fwww.webofscience.com%2Fwos%2Fwoscc%2Ffull-record%2FWOS:001527490000001","View Full Record in Web of Science")</f>
        <v>View Full Record in Web of Science</v>
      </c>
    </row>
    <row r="47" spans="1:73" ht="136" x14ac:dyDescent="0.2">
      <c r="A47" t="s">
        <v>72</v>
      </c>
      <c r="B47" t="s">
        <v>566</v>
      </c>
      <c r="C47" t="s">
        <v>74</v>
      </c>
      <c r="D47" t="s">
        <v>74</v>
      </c>
      <c r="E47" t="s">
        <v>74</v>
      </c>
      <c r="F47" t="s">
        <v>567</v>
      </c>
      <c r="G47" t="s">
        <v>74</v>
      </c>
      <c r="H47" t="s">
        <v>74</v>
      </c>
      <c r="I47" t="s">
        <v>568</v>
      </c>
      <c r="J47" t="s">
        <v>569</v>
      </c>
      <c r="K47" t="s">
        <v>74</v>
      </c>
      <c r="L47" t="s">
        <v>74</v>
      </c>
      <c r="M47" t="s">
        <v>74</v>
      </c>
      <c r="N47" t="s">
        <v>78</v>
      </c>
      <c r="O47" t="s">
        <v>74</v>
      </c>
      <c r="P47" t="s">
        <v>74</v>
      </c>
      <c r="Q47" t="s">
        <v>74</v>
      </c>
      <c r="R47" t="s">
        <v>74</v>
      </c>
      <c r="S47" t="s">
        <v>74</v>
      </c>
      <c r="T47" t="s">
        <v>74</v>
      </c>
      <c r="U47" t="s">
        <v>74</v>
      </c>
      <c r="V47" t="b">
        <v>0</v>
      </c>
      <c r="W47" s="1" t="s">
        <v>570</v>
      </c>
      <c r="X47" t="s">
        <v>571</v>
      </c>
      <c r="Y47" t="s">
        <v>74</v>
      </c>
      <c r="Z47" t="s">
        <v>572</v>
      </c>
      <c r="AA47" t="s">
        <v>573</v>
      </c>
      <c r="AB47" t="s">
        <v>74</v>
      </c>
      <c r="AC47" t="s">
        <v>74</v>
      </c>
      <c r="AD47" t="s">
        <v>74</v>
      </c>
      <c r="AE47" t="s">
        <v>74</v>
      </c>
      <c r="AF47" t="s">
        <v>74</v>
      </c>
      <c r="AG47" t="s">
        <v>74</v>
      </c>
      <c r="AH47" t="s">
        <v>74</v>
      </c>
      <c r="AI47">
        <v>45</v>
      </c>
      <c r="AJ47">
        <v>53</v>
      </c>
      <c r="AK47" t="s">
        <v>74</v>
      </c>
      <c r="AL47" t="s">
        <v>74</v>
      </c>
      <c r="AM47" t="s">
        <v>74</v>
      </c>
      <c r="AN47" t="s">
        <v>74</v>
      </c>
      <c r="AO47" t="s">
        <v>74</v>
      </c>
      <c r="AP47" t="s">
        <v>74</v>
      </c>
      <c r="AQ47" t="s">
        <v>74</v>
      </c>
      <c r="AR47" t="s">
        <v>74</v>
      </c>
      <c r="AS47" t="s">
        <v>74</v>
      </c>
      <c r="AT47" t="s">
        <v>74</v>
      </c>
      <c r="AU47" t="s">
        <v>108</v>
      </c>
      <c r="AV47">
        <v>2025</v>
      </c>
      <c r="AW47">
        <v>227</v>
      </c>
      <c r="AX47" t="s">
        <v>74</v>
      </c>
      <c r="AY47" t="s">
        <v>74</v>
      </c>
      <c r="AZ47" t="s">
        <v>74</v>
      </c>
      <c r="BA47" t="s">
        <v>74</v>
      </c>
      <c r="BB47" t="s">
        <v>74</v>
      </c>
      <c r="BC47" t="s">
        <v>74</v>
      </c>
      <c r="BD47" t="s">
        <v>74</v>
      </c>
      <c r="BE47">
        <v>108345</v>
      </c>
      <c r="BF47" t="s">
        <v>574</v>
      </c>
      <c r="BG47" t="str">
        <f>HYPERLINK("http://dx.doi.org/10.1016/j.ecolecon.2024.108345","http://dx.doi.org/10.1016/j.ecolecon.2024.108345")</f>
        <v>http://dx.doi.org/10.1016/j.ecolecon.2024.108345</v>
      </c>
      <c r="BH47" t="s">
        <v>74</v>
      </c>
      <c r="BI47" t="s">
        <v>575</v>
      </c>
      <c r="BJ47" t="s">
        <v>74</v>
      </c>
      <c r="BK47" t="s">
        <v>74</v>
      </c>
      <c r="BL47" t="s">
        <v>74</v>
      </c>
      <c r="BM47" t="s">
        <v>74</v>
      </c>
      <c r="BN47" t="s">
        <v>74</v>
      </c>
      <c r="BO47" t="s">
        <v>74</v>
      </c>
      <c r="BP47" t="s">
        <v>74</v>
      </c>
      <c r="BQ47" t="s">
        <v>74</v>
      </c>
      <c r="BR47" t="s">
        <v>74</v>
      </c>
      <c r="BS47" t="s">
        <v>86</v>
      </c>
      <c r="BT47" t="s">
        <v>576</v>
      </c>
      <c r="BU47" t="str">
        <f>HYPERLINK("https%3A%2F%2Fwww.webofscience.com%2Fwos%2Fwoscc%2Ffull-record%2FWOS:001314438000001","View Full Record in Web of Science")</f>
        <v>View Full Record in Web of Science</v>
      </c>
    </row>
    <row r="48" spans="1:73" ht="170" x14ac:dyDescent="0.2">
      <c r="A48" t="s">
        <v>72</v>
      </c>
      <c r="B48" t="s">
        <v>577</v>
      </c>
      <c r="C48" t="s">
        <v>74</v>
      </c>
      <c r="D48" t="s">
        <v>74</v>
      </c>
      <c r="E48" t="s">
        <v>74</v>
      </c>
      <c r="F48" t="s">
        <v>578</v>
      </c>
      <c r="G48" t="s">
        <v>74</v>
      </c>
      <c r="H48" t="s">
        <v>74</v>
      </c>
      <c r="I48" t="s">
        <v>579</v>
      </c>
      <c r="J48" t="s">
        <v>77</v>
      </c>
      <c r="K48" t="s">
        <v>74</v>
      </c>
      <c r="L48" t="s">
        <v>74</v>
      </c>
      <c r="M48" t="s">
        <v>74</v>
      </c>
      <c r="N48" t="s">
        <v>78</v>
      </c>
      <c r="O48" t="s">
        <v>74</v>
      </c>
      <c r="P48" t="s">
        <v>74</v>
      </c>
      <c r="Q48" t="s">
        <v>74</v>
      </c>
      <c r="R48" t="s">
        <v>74</v>
      </c>
      <c r="S48" t="s">
        <v>74</v>
      </c>
      <c r="T48" t="s">
        <v>74</v>
      </c>
      <c r="U48" t="s">
        <v>74</v>
      </c>
      <c r="V48" t="b">
        <v>0</v>
      </c>
      <c r="W48" s="1" t="s">
        <v>580</v>
      </c>
      <c r="X48" t="s">
        <v>581</v>
      </c>
      <c r="Y48" t="s">
        <v>74</v>
      </c>
      <c r="Z48" t="s">
        <v>582</v>
      </c>
      <c r="AA48" t="s">
        <v>583</v>
      </c>
      <c r="AB48" t="s">
        <v>74</v>
      </c>
      <c r="AC48" t="s">
        <v>74</v>
      </c>
      <c r="AD48" t="s">
        <v>74</v>
      </c>
      <c r="AE48" t="s">
        <v>74</v>
      </c>
      <c r="AF48" t="s">
        <v>74</v>
      </c>
      <c r="AG48" t="s">
        <v>74</v>
      </c>
      <c r="AH48" t="s">
        <v>74</v>
      </c>
      <c r="AI48">
        <v>59</v>
      </c>
      <c r="AJ48">
        <v>66</v>
      </c>
      <c r="AK48" t="s">
        <v>74</v>
      </c>
      <c r="AL48" t="s">
        <v>74</v>
      </c>
      <c r="AM48" t="s">
        <v>74</v>
      </c>
      <c r="AN48" t="s">
        <v>74</v>
      </c>
      <c r="AO48" t="s">
        <v>74</v>
      </c>
      <c r="AP48" t="s">
        <v>74</v>
      </c>
      <c r="AQ48" t="s">
        <v>74</v>
      </c>
      <c r="AR48" t="s">
        <v>74</v>
      </c>
      <c r="AS48" t="s">
        <v>74</v>
      </c>
      <c r="AT48" t="s">
        <v>74</v>
      </c>
      <c r="AU48" t="s">
        <v>425</v>
      </c>
      <c r="AV48">
        <v>2021</v>
      </c>
      <c r="AW48">
        <v>173</v>
      </c>
      <c r="AX48" t="s">
        <v>74</v>
      </c>
      <c r="AY48" t="s">
        <v>74</v>
      </c>
      <c r="AZ48" t="s">
        <v>74</v>
      </c>
      <c r="BA48" t="s">
        <v>74</v>
      </c>
      <c r="BB48" t="s">
        <v>74</v>
      </c>
      <c r="BC48" t="s">
        <v>74</v>
      </c>
      <c r="BD48" t="s">
        <v>74</v>
      </c>
      <c r="BE48">
        <v>105732</v>
      </c>
      <c r="BF48" t="s">
        <v>584</v>
      </c>
      <c r="BG48" t="str">
        <f>HYPERLINK("http://dx.doi.org/10.1016/j.resconrec.2021.105732","http://dx.doi.org/10.1016/j.resconrec.2021.105732")</f>
        <v>http://dx.doi.org/10.1016/j.resconrec.2021.105732</v>
      </c>
      <c r="BH48" t="s">
        <v>74</v>
      </c>
      <c r="BI48" t="s">
        <v>585</v>
      </c>
      <c r="BJ48" t="s">
        <v>74</v>
      </c>
      <c r="BK48" t="s">
        <v>74</v>
      </c>
      <c r="BL48" t="s">
        <v>74</v>
      </c>
      <c r="BM48" t="s">
        <v>74</v>
      </c>
      <c r="BN48" t="s">
        <v>74</v>
      </c>
      <c r="BO48" t="s">
        <v>74</v>
      </c>
      <c r="BP48" t="s">
        <v>74</v>
      </c>
      <c r="BQ48" t="s">
        <v>74</v>
      </c>
      <c r="BR48" t="s">
        <v>74</v>
      </c>
      <c r="BS48" t="s">
        <v>86</v>
      </c>
      <c r="BT48" t="s">
        <v>586</v>
      </c>
      <c r="BU48" t="str">
        <f>HYPERLINK("https%3A%2F%2Fwww.webofscience.com%2Fwos%2Fwoscc%2Ffull-record%2FWOS:000670702800025","View Full Record in Web of Science")</f>
        <v>View Full Record in Web of Science</v>
      </c>
    </row>
    <row r="49" spans="1:73" ht="238" x14ac:dyDescent="0.2">
      <c r="A49" t="s">
        <v>72</v>
      </c>
      <c r="B49" t="s">
        <v>587</v>
      </c>
      <c r="C49" t="s">
        <v>74</v>
      </c>
      <c r="D49" t="s">
        <v>74</v>
      </c>
      <c r="E49" t="s">
        <v>74</v>
      </c>
      <c r="F49" t="s">
        <v>588</v>
      </c>
      <c r="G49" t="s">
        <v>74</v>
      </c>
      <c r="H49" t="s">
        <v>74</v>
      </c>
      <c r="I49" t="s">
        <v>589</v>
      </c>
      <c r="J49" t="s">
        <v>250</v>
      </c>
      <c r="K49" t="s">
        <v>74</v>
      </c>
      <c r="L49" t="s">
        <v>74</v>
      </c>
      <c r="M49" t="s">
        <v>74</v>
      </c>
      <c r="N49" t="s">
        <v>251</v>
      </c>
      <c r="O49" t="s">
        <v>74</v>
      </c>
      <c r="P49" t="s">
        <v>74</v>
      </c>
      <c r="Q49" t="s">
        <v>74</v>
      </c>
      <c r="R49" t="s">
        <v>74</v>
      </c>
      <c r="S49" t="s">
        <v>74</v>
      </c>
      <c r="T49" t="s">
        <v>74</v>
      </c>
      <c r="U49" t="s">
        <v>74</v>
      </c>
      <c r="V49" t="b">
        <v>1</v>
      </c>
      <c r="W49" s="1" t="s">
        <v>590</v>
      </c>
      <c r="X49" t="s">
        <v>591</v>
      </c>
      <c r="Y49" t="s">
        <v>74</v>
      </c>
      <c r="Z49" t="s">
        <v>592</v>
      </c>
      <c r="AA49" t="s">
        <v>593</v>
      </c>
      <c r="AB49" t="s">
        <v>74</v>
      </c>
      <c r="AC49" t="s">
        <v>74</v>
      </c>
      <c r="AD49" t="s">
        <v>74</v>
      </c>
      <c r="AE49" t="s">
        <v>74</v>
      </c>
      <c r="AF49" t="s">
        <v>74</v>
      </c>
      <c r="AG49" t="s">
        <v>74</v>
      </c>
      <c r="AH49" t="s">
        <v>74</v>
      </c>
      <c r="AI49">
        <v>0</v>
      </c>
      <c r="AJ49">
        <v>0</v>
      </c>
      <c r="AK49" t="s">
        <v>74</v>
      </c>
      <c r="AL49" t="s">
        <v>74</v>
      </c>
      <c r="AM49" t="s">
        <v>74</v>
      </c>
      <c r="AN49" t="s">
        <v>74</v>
      </c>
      <c r="AO49" t="s">
        <v>74</v>
      </c>
      <c r="AP49" t="s">
        <v>74</v>
      </c>
      <c r="AQ49" t="s">
        <v>74</v>
      </c>
      <c r="AR49" t="s">
        <v>74</v>
      </c>
      <c r="AS49" t="s">
        <v>74</v>
      </c>
      <c r="AT49" t="s">
        <v>74</v>
      </c>
      <c r="AU49" t="s">
        <v>594</v>
      </c>
      <c r="AV49">
        <v>2026</v>
      </c>
      <c r="AW49" t="s">
        <v>74</v>
      </c>
      <c r="AX49" t="s">
        <v>74</v>
      </c>
      <c r="AY49" t="s">
        <v>74</v>
      </c>
      <c r="AZ49" t="s">
        <v>74</v>
      </c>
      <c r="BA49" t="s">
        <v>74</v>
      </c>
      <c r="BB49" t="s">
        <v>74</v>
      </c>
      <c r="BC49" t="s">
        <v>74</v>
      </c>
      <c r="BD49" t="s">
        <v>74</v>
      </c>
      <c r="BE49" t="s">
        <v>74</v>
      </c>
      <c r="BF49" t="s">
        <v>595</v>
      </c>
      <c r="BG49" t="str">
        <f>HYPERLINK("http://dx.doi.org/10.1007/s13563-026-00624-z","http://dx.doi.org/10.1007/s13563-026-00624-z")</f>
        <v>http://dx.doi.org/10.1007/s13563-026-00624-z</v>
      </c>
      <c r="BH49" t="s">
        <v>74</v>
      </c>
      <c r="BI49" t="s">
        <v>596</v>
      </c>
      <c r="BJ49" t="s">
        <v>74</v>
      </c>
      <c r="BK49" t="s">
        <v>74</v>
      </c>
      <c r="BL49" t="s">
        <v>74</v>
      </c>
      <c r="BM49" t="s">
        <v>74</v>
      </c>
      <c r="BN49" t="s">
        <v>74</v>
      </c>
      <c r="BO49" t="s">
        <v>74</v>
      </c>
      <c r="BP49" t="s">
        <v>74</v>
      </c>
      <c r="BQ49" t="s">
        <v>74</v>
      </c>
      <c r="BR49" t="s">
        <v>74</v>
      </c>
      <c r="BS49" t="s">
        <v>86</v>
      </c>
      <c r="BT49" t="s">
        <v>597</v>
      </c>
      <c r="BU49" t="str">
        <f>HYPERLINK("https%3A%2F%2Fwww.webofscience.com%2Fwos%2Fwoscc%2Ffull-record%2FWOS:001732362200001","View Full Record in Web of Science")</f>
        <v>View Full Record in Web of Science</v>
      </c>
    </row>
    <row r="50" spans="1:73" ht="187" x14ac:dyDescent="0.2">
      <c r="A50" t="s">
        <v>72</v>
      </c>
      <c r="B50" t="s">
        <v>598</v>
      </c>
      <c r="C50" t="s">
        <v>74</v>
      </c>
      <c r="D50" t="s">
        <v>74</v>
      </c>
      <c r="E50" t="s">
        <v>74</v>
      </c>
      <c r="F50" t="s">
        <v>599</v>
      </c>
      <c r="G50" t="s">
        <v>74</v>
      </c>
      <c r="H50" t="s">
        <v>74</v>
      </c>
      <c r="I50" t="s">
        <v>600</v>
      </c>
      <c r="J50" t="s">
        <v>601</v>
      </c>
      <c r="K50" t="s">
        <v>74</v>
      </c>
      <c r="L50" t="s">
        <v>74</v>
      </c>
      <c r="M50" t="s">
        <v>74</v>
      </c>
      <c r="N50" t="s">
        <v>78</v>
      </c>
      <c r="O50" t="s">
        <v>74</v>
      </c>
      <c r="P50" t="s">
        <v>74</v>
      </c>
      <c r="Q50" t="s">
        <v>74</v>
      </c>
      <c r="R50" t="s">
        <v>74</v>
      </c>
      <c r="S50" t="s">
        <v>74</v>
      </c>
      <c r="T50" t="s">
        <v>74</v>
      </c>
      <c r="U50" t="s">
        <v>74</v>
      </c>
      <c r="V50" t="b">
        <v>0</v>
      </c>
      <c r="W50" s="1" t="s">
        <v>602</v>
      </c>
      <c r="X50" t="s">
        <v>603</v>
      </c>
      <c r="Y50" t="s">
        <v>74</v>
      </c>
      <c r="Z50" t="s">
        <v>604</v>
      </c>
      <c r="AA50" t="s">
        <v>605</v>
      </c>
      <c r="AB50" t="s">
        <v>74</v>
      </c>
      <c r="AC50" t="s">
        <v>74</v>
      </c>
      <c r="AD50" t="s">
        <v>74</v>
      </c>
      <c r="AE50" t="s">
        <v>74</v>
      </c>
      <c r="AF50" t="s">
        <v>74</v>
      </c>
      <c r="AG50" t="s">
        <v>74</v>
      </c>
      <c r="AH50" t="s">
        <v>74</v>
      </c>
      <c r="AI50">
        <v>25</v>
      </c>
      <c r="AJ50">
        <v>28</v>
      </c>
      <c r="AK50" t="s">
        <v>74</v>
      </c>
      <c r="AL50" t="s">
        <v>74</v>
      </c>
      <c r="AM50" t="s">
        <v>74</v>
      </c>
      <c r="AN50" t="s">
        <v>74</v>
      </c>
      <c r="AO50" t="s">
        <v>74</v>
      </c>
      <c r="AP50" t="s">
        <v>74</v>
      </c>
      <c r="AQ50" t="s">
        <v>74</v>
      </c>
      <c r="AR50" t="s">
        <v>74</v>
      </c>
      <c r="AS50" t="s">
        <v>74</v>
      </c>
      <c r="AT50" t="s">
        <v>74</v>
      </c>
      <c r="AU50" t="s">
        <v>74</v>
      </c>
      <c r="AV50">
        <v>2013</v>
      </c>
      <c r="AW50">
        <v>110</v>
      </c>
      <c r="AX50">
        <v>1</v>
      </c>
      <c r="AY50" t="s">
        <v>74</v>
      </c>
      <c r="AZ50" t="s">
        <v>74</v>
      </c>
      <c r="BA50" t="s">
        <v>74</v>
      </c>
      <c r="BB50" t="s">
        <v>74</v>
      </c>
      <c r="BC50">
        <v>47</v>
      </c>
      <c r="BD50">
        <v>54</v>
      </c>
      <c r="BE50" t="s">
        <v>74</v>
      </c>
      <c r="BF50" t="s">
        <v>606</v>
      </c>
      <c r="BG50" t="str">
        <f>HYPERLINK("http://dx.doi.org/10.1051/metal/2013052","http://dx.doi.org/10.1051/metal/2013052")</f>
        <v>http://dx.doi.org/10.1051/metal/2013052</v>
      </c>
      <c r="BH50" t="s">
        <v>74</v>
      </c>
      <c r="BI50" t="s">
        <v>74</v>
      </c>
      <c r="BJ50" t="s">
        <v>74</v>
      </c>
      <c r="BK50" t="s">
        <v>74</v>
      </c>
      <c r="BL50" t="s">
        <v>74</v>
      </c>
      <c r="BM50" t="s">
        <v>74</v>
      </c>
      <c r="BN50" t="s">
        <v>74</v>
      </c>
      <c r="BO50" t="s">
        <v>74</v>
      </c>
      <c r="BP50" t="s">
        <v>74</v>
      </c>
      <c r="BQ50" t="s">
        <v>74</v>
      </c>
      <c r="BR50" t="s">
        <v>74</v>
      </c>
      <c r="BS50" t="s">
        <v>86</v>
      </c>
      <c r="BT50" t="s">
        <v>607</v>
      </c>
      <c r="BU50" t="str">
        <f>HYPERLINK("https%3A%2F%2Fwww.webofscience.com%2Fwos%2Fwoscc%2Ffull-record%2FWOS:000318668500006","View Full Record in Web of Science")</f>
        <v>View Full Record in Web of Science</v>
      </c>
    </row>
    <row r="51" spans="1:73" ht="153" x14ac:dyDescent="0.2">
      <c r="A51" t="s">
        <v>72</v>
      </c>
      <c r="B51" t="s">
        <v>608</v>
      </c>
      <c r="C51" t="s">
        <v>74</v>
      </c>
      <c r="D51" t="s">
        <v>74</v>
      </c>
      <c r="E51" t="s">
        <v>74</v>
      </c>
      <c r="F51" t="s">
        <v>609</v>
      </c>
      <c r="G51" t="s">
        <v>74</v>
      </c>
      <c r="H51" t="s">
        <v>74</v>
      </c>
      <c r="I51" t="s">
        <v>610</v>
      </c>
      <c r="J51" t="s">
        <v>115</v>
      </c>
      <c r="K51" t="s">
        <v>74</v>
      </c>
      <c r="L51" t="s">
        <v>74</v>
      </c>
      <c r="M51" t="s">
        <v>74</v>
      </c>
      <c r="N51" t="s">
        <v>78</v>
      </c>
      <c r="O51" t="s">
        <v>74</v>
      </c>
      <c r="P51" t="s">
        <v>74</v>
      </c>
      <c r="Q51" t="s">
        <v>74</v>
      </c>
      <c r="R51" t="s">
        <v>74</v>
      </c>
      <c r="S51" t="s">
        <v>74</v>
      </c>
      <c r="T51" t="s">
        <v>74</v>
      </c>
      <c r="U51" t="s">
        <v>74</v>
      </c>
      <c r="V51" t="b">
        <v>0</v>
      </c>
      <c r="W51" s="1" t="s">
        <v>611</v>
      </c>
      <c r="X51" t="s">
        <v>612</v>
      </c>
      <c r="Y51" t="s">
        <v>74</v>
      </c>
      <c r="Z51" t="s">
        <v>613</v>
      </c>
      <c r="AA51" t="s">
        <v>614</v>
      </c>
      <c r="AB51" t="s">
        <v>74</v>
      </c>
      <c r="AC51" t="s">
        <v>74</v>
      </c>
      <c r="AD51" t="s">
        <v>74</v>
      </c>
      <c r="AE51" t="s">
        <v>74</v>
      </c>
      <c r="AF51" t="s">
        <v>74</v>
      </c>
      <c r="AG51" t="s">
        <v>74</v>
      </c>
      <c r="AH51" t="s">
        <v>74</v>
      </c>
      <c r="AI51">
        <v>44</v>
      </c>
      <c r="AJ51">
        <v>50</v>
      </c>
      <c r="AK51" t="s">
        <v>74</v>
      </c>
      <c r="AL51" t="s">
        <v>74</v>
      </c>
      <c r="AM51" t="s">
        <v>74</v>
      </c>
      <c r="AN51" t="s">
        <v>74</v>
      </c>
      <c r="AO51" t="s">
        <v>74</v>
      </c>
      <c r="AP51" t="s">
        <v>74</v>
      </c>
      <c r="AQ51" t="s">
        <v>74</v>
      </c>
      <c r="AR51" t="s">
        <v>74</v>
      </c>
      <c r="AS51" t="s">
        <v>74</v>
      </c>
      <c r="AT51" t="s">
        <v>74</v>
      </c>
      <c r="AU51" t="s">
        <v>279</v>
      </c>
      <c r="AV51">
        <v>2023</v>
      </c>
      <c r="AW51">
        <v>179</v>
      </c>
      <c r="AX51" t="s">
        <v>74</v>
      </c>
      <c r="AY51" t="s">
        <v>74</v>
      </c>
      <c r="AZ51" t="s">
        <v>74</v>
      </c>
      <c r="BA51" t="s">
        <v>74</v>
      </c>
      <c r="BB51" t="s">
        <v>74</v>
      </c>
      <c r="BC51" t="s">
        <v>74</v>
      </c>
      <c r="BD51" t="s">
        <v>74</v>
      </c>
      <c r="BE51">
        <v>109157</v>
      </c>
      <c r="BF51" t="s">
        <v>615</v>
      </c>
      <c r="BG51" t="str">
        <f>HYPERLINK("http://dx.doi.org/10.1016/j.cie.2023.109157","http://dx.doi.org/10.1016/j.cie.2023.109157")</f>
        <v>http://dx.doi.org/10.1016/j.cie.2023.109157</v>
      </c>
      <c r="BH51" t="s">
        <v>74</v>
      </c>
      <c r="BI51" t="s">
        <v>299</v>
      </c>
      <c r="BJ51" t="s">
        <v>74</v>
      </c>
      <c r="BK51" t="s">
        <v>74</v>
      </c>
      <c r="BL51" t="s">
        <v>74</v>
      </c>
      <c r="BM51" t="s">
        <v>74</v>
      </c>
      <c r="BN51" t="s">
        <v>74</v>
      </c>
      <c r="BO51" t="s">
        <v>74</v>
      </c>
      <c r="BP51" t="s">
        <v>74</v>
      </c>
      <c r="BQ51" t="s">
        <v>74</v>
      </c>
      <c r="BR51" t="s">
        <v>74</v>
      </c>
      <c r="BS51" t="s">
        <v>86</v>
      </c>
      <c r="BT51" t="s">
        <v>616</v>
      </c>
      <c r="BU51" t="str">
        <f>HYPERLINK("https%3A%2F%2Fwww.webofscience.com%2Fwos%2Fwoscc%2Ffull-record%2FWOS:000967730000001","View Full Record in Web of Science")</f>
        <v>View Full Record in Web of Science</v>
      </c>
    </row>
    <row r="52" spans="1:73" ht="289" x14ac:dyDescent="0.2">
      <c r="A52" t="s">
        <v>72</v>
      </c>
      <c r="B52" t="s">
        <v>617</v>
      </c>
      <c r="C52" t="s">
        <v>74</v>
      </c>
      <c r="D52" t="s">
        <v>74</v>
      </c>
      <c r="E52" t="s">
        <v>74</v>
      </c>
      <c r="F52" t="s">
        <v>618</v>
      </c>
      <c r="G52" t="s">
        <v>74</v>
      </c>
      <c r="H52" t="s">
        <v>74</v>
      </c>
      <c r="I52" t="s">
        <v>619</v>
      </c>
      <c r="J52" t="s">
        <v>620</v>
      </c>
      <c r="K52" t="s">
        <v>74</v>
      </c>
      <c r="L52" t="s">
        <v>74</v>
      </c>
      <c r="M52" t="s">
        <v>74</v>
      </c>
      <c r="N52" t="s">
        <v>78</v>
      </c>
      <c r="O52" t="s">
        <v>74</v>
      </c>
      <c r="P52" t="s">
        <v>74</v>
      </c>
      <c r="Q52" t="s">
        <v>74</v>
      </c>
      <c r="R52" t="s">
        <v>74</v>
      </c>
      <c r="S52" t="s">
        <v>74</v>
      </c>
      <c r="T52" t="s">
        <v>74</v>
      </c>
      <c r="U52" t="s">
        <v>74</v>
      </c>
      <c r="V52" t="b">
        <v>0</v>
      </c>
      <c r="W52" s="1" t="s">
        <v>621</v>
      </c>
      <c r="X52" t="s">
        <v>622</v>
      </c>
      <c r="Y52" t="s">
        <v>74</v>
      </c>
      <c r="Z52" t="s">
        <v>623</v>
      </c>
      <c r="AA52" t="s">
        <v>624</v>
      </c>
      <c r="AB52" t="s">
        <v>74</v>
      </c>
      <c r="AC52" t="s">
        <v>74</v>
      </c>
      <c r="AD52" t="s">
        <v>74</v>
      </c>
      <c r="AE52" t="s">
        <v>74</v>
      </c>
      <c r="AF52" t="s">
        <v>74</v>
      </c>
      <c r="AG52" t="s">
        <v>74</v>
      </c>
      <c r="AH52" t="s">
        <v>74</v>
      </c>
      <c r="AI52">
        <v>25</v>
      </c>
      <c r="AJ52">
        <v>27</v>
      </c>
      <c r="AK52" t="s">
        <v>74</v>
      </c>
      <c r="AL52" t="s">
        <v>74</v>
      </c>
      <c r="AM52" t="s">
        <v>74</v>
      </c>
      <c r="AN52" t="s">
        <v>74</v>
      </c>
      <c r="AO52" t="s">
        <v>74</v>
      </c>
      <c r="AP52" t="s">
        <v>74</v>
      </c>
      <c r="AQ52" t="s">
        <v>74</v>
      </c>
      <c r="AR52" t="s">
        <v>74</v>
      </c>
      <c r="AS52" t="s">
        <v>74</v>
      </c>
      <c r="AT52" t="s">
        <v>74</v>
      </c>
      <c r="AU52" t="s">
        <v>625</v>
      </c>
      <c r="AV52">
        <v>2023</v>
      </c>
      <c r="AW52">
        <v>4</v>
      </c>
      <c r="AX52" t="s">
        <v>74</v>
      </c>
      <c r="AY52" t="s">
        <v>74</v>
      </c>
      <c r="AZ52" t="s">
        <v>74</v>
      </c>
      <c r="BA52" t="s">
        <v>74</v>
      </c>
      <c r="BB52" t="s">
        <v>74</v>
      </c>
      <c r="BC52" t="s">
        <v>74</v>
      </c>
      <c r="BD52" t="s">
        <v>74</v>
      </c>
      <c r="BE52">
        <v>978842</v>
      </c>
      <c r="BF52" t="s">
        <v>626</v>
      </c>
      <c r="BG52" t="str">
        <f>HYPERLINK("http://dx.doi.org/10.3389/fceng.2022.978842","http://dx.doi.org/10.3389/fceng.2022.978842")</f>
        <v>http://dx.doi.org/10.3389/fceng.2022.978842</v>
      </c>
      <c r="BH52" t="s">
        <v>74</v>
      </c>
      <c r="BI52" t="s">
        <v>74</v>
      </c>
      <c r="BJ52" t="s">
        <v>74</v>
      </c>
      <c r="BK52" t="s">
        <v>74</v>
      </c>
      <c r="BL52" t="s">
        <v>74</v>
      </c>
      <c r="BM52" t="s">
        <v>74</v>
      </c>
      <c r="BN52" t="s">
        <v>74</v>
      </c>
      <c r="BO52" t="s">
        <v>74</v>
      </c>
      <c r="BP52" t="s">
        <v>74</v>
      </c>
      <c r="BQ52" t="s">
        <v>74</v>
      </c>
      <c r="BR52" t="s">
        <v>74</v>
      </c>
      <c r="BS52" t="s">
        <v>86</v>
      </c>
      <c r="BT52" t="s">
        <v>627</v>
      </c>
      <c r="BU52" t="str">
        <f>HYPERLINK("https%3A%2F%2Fwww.webofscience.com%2Fwos%2Fwoscc%2Ffull-record%2FWOS:000994810000001","View Full Record in Web of Science")</f>
        <v>View Full Record in Web of Science</v>
      </c>
    </row>
    <row r="53" spans="1:73" ht="153" x14ac:dyDescent="0.2">
      <c r="A53" t="s">
        <v>72</v>
      </c>
      <c r="B53" t="s">
        <v>628</v>
      </c>
      <c r="C53" t="s">
        <v>74</v>
      </c>
      <c r="D53" t="s">
        <v>74</v>
      </c>
      <c r="E53" t="s">
        <v>74</v>
      </c>
      <c r="F53" t="s">
        <v>629</v>
      </c>
      <c r="G53" t="s">
        <v>74</v>
      </c>
      <c r="H53" t="s">
        <v>74</v>
      </c>
      <c r="I53" t="s">
        <v>630</v>
      </c>
      <c r="J53" t="s">
        <v>536</v>
      </c>
      <c r="K53" t="s">
        <v>74</v>
      </c>
      <c r="L53" t="s">
        <v>74</v>
      </c>
      <c r="M53" t="s">
        <v>74</v>
      </c>
      <c r="N53" t="s">
        <v>78</v>
      </c>
      <c r="O53" t="s">
        <v>74</v>
      </c>
      <c r="P53" t="s">
        <v>74</v>
      </c>
      <c r="Q53" t="s">
        <v>74</v>
      </c>
      <c r="R53" t="s">
        <v>74</v>
      </c>
      <c r="S53" t="s">
        <v>74</v>
      </c>
      <c r="T53" t="s">
        <v>74</v>
      </c>
      <c r="U53" t="s">
        <v>74</v>
      </c>
      <c r="V53" t="b">
        <v>0</v>
      </c>
      <c r="W53" s="1" t="s">
        <v>631</v>
      </c>
      <c r="X53" t="s">
        <v>632</v>
      </c>
      <c r="Y53" t="s">
        <v>74</v>
      </c>
      <c r="Z53" t="s">
        <v>633</v>
      </c>
      <c r="AA53" t="s">
        <v>634</v>
      </c>
      <c r="AB53" t="s">
        <v>74</v>
      </c>
      <c r="AC53" t="s">
        <v>74</v>
      </c>
      <c r="AD53" t="s">
        <v>74</v>
      </c>
      <c r="AE53" t="s">
        <v>74</v>
      </c>
      <c r="AF53" t="s">
        <v>74</v>
      </c>
      <c r="AG53" t="s">
        <v>74</v>
      </c>
      <c r="AH53" t="s">
        <v>74</v>
      </c>
      <c r="AI53">
        <v>111</v>
      </c>
      <c r="AJ53">
        <v>131</v>
      </c>
      <c r="AK53" t="s">
        <v>74</v>
      </c>
      <c r="AL53" t="s">
        <v>74</v>
      </c>
      <c r="AM53" t="s">
        <v>74</v>
      </c>
      <c r="AN53" t="s">
        <v>74</v>
      </c>
      <c r="AO53" t="s">
        <v>74</v>
      </c>
      <c r="AP53" t="s">
        <v>74</v>
      </c>
      <c r="AQ53" t="s">
        <v>74</v>
      </c>
      <c r="AR53" t="s">
        <v>74</v>
      </c>
      <c r="AS53" t="s">
        <v>74</v>
      </c>
      <c r="AT53" t="s">
        <v>74</v>
      </c>
      <c r="AU53" t="s">
        <v>468</v>
      </c>
      <c r="AV53">
        <v>2022</v>
      </c>
      <c r="AW53">
        <v>93</v>
      </c>
      <c r="AX53" t="s">
        <v>74</v>
      </c>
      <c r="AY53" t="s">
        <v>74</v>
      </c>
      <c r="AZ53" t="s">
        <v>74</v>
      </c>
      <c r="BA53" t="s">
        <v>74</v>
      </c>
      <c r="BB53" t="s">
        <v>74</v>
      </c>
      <c r="BC53" t="s">
        <v>74</v>
      </c>
      <c r="BD53" t="s">
        <v>74</v>
      </c>
      <c r="BE53">
        <v>102850</v>
      </c>
      <c r="BF53" t="s">
        <v>635</v>
      </c>
      <c r="BG53" t="str">
        <f>HYPERLINK("http://dx.doi.org/10.1016/j.erss.2022.102850","http://dx.doi.org/10.1016/j.erss.2022.102850")</f>
        <v>http://dx.doi.org/10.1016/j.erss.2022.102850</v>
      </c>
      <c r="BH53" t="s">
        <v>74</v>
      </c>
      <c r="BI53" t="s">
        <v>470</v>
      </c>
      <c r="BJ53" t="s">
        <v>74</v>
      </c>
      <c r="BK53" t="s">
        <v>74</v>
      </c>
      <c r="BL53" t="s">
        <v>74</v>
      </c>
      <c r="BM53" t="s">
        <v>74</v>
      </c>
      <c r="BN53" t="s">
        <v>74</v>
      </c>
      <c r="BO53" t="s">
        <v>74</v>
      </c>
      <c r="BP53" t="s">
        <v>74</v>
      </c>
      <c r="BQ53" t="s">
        <v>98</v>
      </c>
      <c r="BR53" t="s">
        <v>636</v>
      </c>
      <c r="BS53" t="s">
        <v>86</v>
      </c>
      <c r="BT53" t="s">
        <v>637</v>
      </c>
      <c r="BU53" t="str">
        <f>HYPERLINK("https%3A%2F%2Fwww.webofscience.com%2Fwos%2Fwoscc%2Ffull-record%2FWOS:000879862100005","View Full Record in Web of Science")</f>
        <v>View Full Record in Web of Science</v>
      </c>
    </row>
    <row r="54" spans="1:73" ht="102" x14ac:dyDescent="0.2">
      <c r="A54" t="s">
        <v>72</v>
      </c>
      <c r="B54" t="s">
        <v>638</v>
      </c>
      <c r="C54" t="s">
        <v>74</v>
      </c>
      <c r="D54" t="s">
        <v>74</v>
      </c>
      <c r="E54" t="s">
        <v>74</v>
      </c>
      <c r="F54" t="s">
        <v>639</v>
      </c>
      <c r="G54" t="s">
        <v>74</v>
      </c>
      <c r="H54" t="s">
        <v>74</v>
      </c>
      <c r="I54" t="s">
        <v>640</v>
      </c>
      <c r="J54" t="s">
        <v>641</v>
      </c>
      <c r="K54" t="s">
        <v>74</v>
      </c>
      <c r="L54" t="s">
        <v>74</v>
      </c>
      <c r="M54" t="s">
        <v>74</v>
      </c>
      <c r="N54" t="s">
        <v>78</v>
      </c>
      <c r="O54" t="s">
        <v>74</v>
      </c>
      <c r="P54" t="s">
        <v>74</v>
      </c>
      <c r="Q54" t="s">
        <v>74</v>
      </c>
      <c r="R54" t="s">
        <v>74</v>
      </c>
      <c r="S54" t="s">
        <v>74</v>
      </c>
      <c r="T54" t="s">
        <v>74</v>
      </c>
      <c r="U54" t="s">
        <v>74</v>
      </c>
      <c r="V54" t="b">
        <v>0</v>
      </c>
      <c r="W54" s="1" t="s">
        <v>642</v>
      </c>
      <c r="X54" t="s">
        <v>643</v>
      </c>
      <c r="Y54" t="s">
        <v>74</v>
      </c>
      <c r="Z54" t="s">
        <v>644</v>
      </c>
      <c r="AA54" t="s">
        <v>645</v>
      </c>
      <c r="AB54" t="s">
        <v>74</v>
      </c>
      <c r="AC54" t="s">
        <v>74</v>
      </c>
      <c r="AD54" t="s">
        <v>74</v>
      </c>
      <c r="AE54" t="s">
        <v>74</v>
      </c>
      <c r="AF54" t="s">
        <v>74</v>
      </c>
      <c r="AG54" t="s">
        <v>74</v>
      </c>
      <c r="AH54" t="s">
        <v>74</v>
      </c>
      <c r="AI54">
        <v>3</v>
      </c>
      <c r="AJ54">
        <v>3</v>
      </c>
      <c r="AK54" t="s">
        <v>74</v>
      </c>
      <c r="AL54" t="s">
        <v>74</v>
      </c>
      <c r="AM54" t="s">
        <v>74</v>
      </c>
      <c r="AN54" t="s">
        <v>74</v>
      </c>
      <c r="AO54" t="s">
        <v>74</v>
      </c>
      <c r="AP54" t="s">
        <v>74</v>
      </c>
      <c r="AQ54" t="s">
        <v>74</v>
      </c>
      <c r="AR54" t="s">
        <v>74</v>
      </c>
      <c r="AS54" t="s">
        <v>74</v>
      </c>
      <c r="AT54" t="s">
        <v>74</v>
      </c>
      <c r="AU54" t="s">
        <v>425</v>
      </c>
      <c r="AV54">
        <v>2014</v>
      </c>
      <c r="AW54">
        <v>89</v>
      </c>
      <c r="AX54" t="s">
        <v>646</v>
      </c>
      <c r="AY54" t="s">
        <v>74</v>
      </c>
      <c r="AZ54" t="s">
        <v>74</v>
      </c>
      <c r="BA54" t="s">
        <v>74</v>
      </c>
      <c r="BB54" t="s">
        <v>74</v>
      </c>
      <c r="BC54">
        <v>2363</v>
      </c>
      <c r="BD54">
        <v>2367</v>
      </c>
      <c r="BE54" t="s">
        <v>74</v>
      </c>
      <c r="BF54" t="s">
        <v>647</v>
      </c>
      <c r="BG54" t="str">
        <f>HYPERLINK("http://dx.doi.org/10.1016/j.fusengdes.2014.02.002","http://dx.doi.org/10.1016/j.fusengdes.2014.02.002")</f>
        <v>http://dx.doi.org/10.1016/j.fusengdes.2014.02.002</v>
      </c>
      <c r="BH54" t="s">
        <v>74</v>
      </c>
      <c r="BI54" t="s">
        <v>74</v>
      </c>
      <c r="BJ54" t="s">
        <v>74</v>
      </c>
      <c r="BK54" t="s">
        <v>74</v>
      </c>
      <c r="BL54" t="s">
        <v>74</v>
      </c>
      <c r="BM54" t="s">
        <v>74</v>
      </c>
      <c r="BN54" t="s">
        <v>74</v>
      </c>
      <c r="BO54" t="s">
        <v>74</v>
      </c>
      <c r="BP54" t="s">
        <v>74</v>
      </c>
      <c r="BQ54" t="s">
        <v>74</v>
      </c>
      <c r="BR54" t="s">
        <v>74</v>
      </c>
      <c r="BS54" t="s">
        <v>86</v>
      </c>
      <c r="BT54" t="s">
        <v>648</v>
      </c>
      <c r="BU54" t="str">
        <f>HYPERLINK("https%3A%2F%2Fwww.webofscience.com%2Fwos%2Fwoscc%2Ffull-record%2FWOS:000341335300096","View Full Record in Web of Science")</f>
        <v>View Full Record in Web of Science</v>
      </c>
    </row>
    <row r="55" spans="1:73" ht="153" x14ac:dyDescent="0.2">
      <c r="A55" t="s">
        <v>72</v>
      </c>
      <c r="B55" t="s">
        <v>649</v>
      </c>
      <c r="C55" t="s">
        <v>74</v>
      </c>
      <c r="D55" t="s">
        <v>74</v>
      </c>
      <c r="E55" t="s">
        <v>74</v>
      </c>
      <c r="F55" t="s">
        <v>650</v>
      </c>
      <c r="G55" t="s">
        <v>74</v>
      </c>
      <c r="H55" t="s">
        <v>74</v>
      </c>
      <c r="I55" t="s">
        <v>651</v>
      </c>
      <c r="J55" t="s">
        <v>652</v>
      </c>
      <c r="K55" t="s">
        <v>74</v>
      </c>
      <c r="L55" t="s">
        <v>74</v>
      </c>
      <c r="M55" t="s">
        <v>74</v>
      </c>
      <c r="N55" t="s">
        <v>78</v>
      </c>
      <c r="O55" t="s">
        <v>74</v>
      </c>
      <c r="P55" t="s">
        <v>74</v>
      </c>
      <c r="Q55" t="s">
        <v>74</v>
      </c>
      <c r="R55" t="s">
        <v>74</v>
      </c>
      <c r="S55" t="s">
        <v>74</v>
      </c>
      <c r="T55" t="s">
        <v>74</v>
      </c>
      <c r="U55" t="s">
        <v>74</v>
      </c>
      <c r="V55" t="b">
        <v>1</v>
      </c>
      <c r="W55" s="1" t="s">
        <v>653</v>
      </c>
      <c r="X55" t="s">
        <v>654</v>
      </c>
      <c r="Y55" t="s">
        <v>74</v>
      </c>
      <c r="Z55" t="s">
        <v>655</v>
      </c>
      <c r="AA55" t="s">
        <v>656</v>
      </c>
      <c r="AB55" t="s">
        <v>74</v>
      </c>
      <c r="AC55" t="s">
        <v>74</v>
      </c>
      <c r="AD55" t="s">
        <v>74</v>
      </c>
      <c r="AE55" t="s">
        <v>74</v>
      </c>
      <c r="AF55" t="s">
        <v>74</v>
      </c>
      <c r="AG55" t="s">
        <v>74</v>
      </c>
      <c r="AH55" t="s">
        <v>74</v>
      </c>
      <c r="AI55">
        <v>73</v>
      </c>
      <c r="AJ55">
        <v>84</v>
      </c>
      <c r="AK55" t="s">
        <v>74</v>
      </c>
      <c r="AL55" t="s">
        <v>74</v>
      </c>
      <c r="AM55" t="s">
        <v>74</v>
      </c>
      <c r="AN55" t="s">
        <v>74</v>
      </c>
      <c r="AO55" t="s">
        <v>74</v>
      </c>
      <c r="AP55" t="s">
        <v>74</v>
      </c>
      <c r="AQ55" t="s">
        <v>74</v>
      </c>
      <c r="AR55" t="s">
        <v>74</v>
      </c>
      <c r="AS55" t="s">
        <v>74</v>
      </c>
      <c r="AT55" t="s">
        <v>74</v>
      </c>
      <c r="AU55" t="s">
        <v>279</v>
      </c>
      <c r="AV55">
        <v>2021</v>
      </c>
      <c r="AW55">
        <v>10</v>
      </c>
      <c r="AX55">
        <v>5</v>
      </c>
      <c r="AY55" t="s">
        <v>74</v>
      </c>
      <c r="AZ55" t="s">
        <v>74</v>
      </c>
      <c r="BA55" t="s">
        <v>74</v>
      </c>
      <c r="BB55" t="s">
        <v>74</v>
      </c>
      <c r="BC55" t="s">
        <v>74</v>
      </c>
      <c r="BD55" t="s">
        <v>74</v>
      </c>
      <c r="BE55">
        <v>50</v>
      </c>
      <c r="BF55" t="s">
        <v>657</v>
      </c>
      <c r="BG55" t="str">
        <f>HYPERLINK("http://dx.doi.org/10.3390/resources10050050","http://dx.doi.org/10.3390/resources10050050")</f>
        <v>http://dx.doi.org/10.3390/resources10050050</v>
      </c>
      <c r="BH55" t="s">
        <v>74</v>
      </c>
      <c r="BI55" t="s">
        <v>74</v>
      </c>
      <c r="BJ55" t="s">
        <v>74</v>
      </c>
      <c r="BK55" t="s">
        <v>74</v>
      </c>
      <c r="BL55" t="s">
        <v>74</v>
      </c>
      <c r="BM55" t="s">
        <v>74</v>
      </c>
      <c r="BN55" t="s">
        <v>74</v>
      </c>
      <c r="BO55" t="s">
        <v>74</v>
      </c>
      <c r="BP55" t="s">
        <v>74</v>
      </c>
      <c r="BQ55" t="s">
        <v>74</v>
      </c>
      <c r="BR55" t="s">
        <v>74</v>
      </c>
      <c r="BS55" t="s">
        <v>86</v>
      </c>
      <c r="BT55" t="s">
        <v>658</v>
      </c>
      <c r="BU55" t="str">
        <f>HYPERLINK("https%3A%2F%2Fwww.webofscience.com%2Fwos%2Fwoscc%2Ffull-record%2FWOS:000654473200001","View Full Record in Web of Science")</f>
        <v>View Full Record in Web of Science</v>
      </c>
    </row>
    <row r="56" spans="1:73" ht="187" x14ac:dyDescent="0.2">
      <c r="A56" t="s">
        <v>72</v>
      </c>
      <c r="B56" t="s">
        <v>659</v>
      </c>
      <c r="C56" t="s">
        <v>74</v>
      </c>
      <c r="D56" t="s">
        <v>74</v>
      </c>
      <c r="E56" t="s">
        <v>74</v>
      </c>
      <c r="F56" t="s">
        <v>660</v>
      </c>
      <c r="G56" t="s">
        <v>74</v>
      </c>
      <c r="H56" t="s">
        <v>74</v>
      </c>
      <c r="I56" t="s">
        <v>661</v>
      </c>
      <c r="J56" t="s">
        <v>662</v>
      </c>
      <c r="K56" t="s">
        <v>74</v>
      </c>
      <c r="L56" t="s">
        <v>74</v>
      </c>
      <c r="M56" t="s">
        <v>74</v>
      </c>
      <c r="N56" t="s">
        <v>78</v>
      </c>
      <c r="O56" t="s">
        <v>74</v>
      </c>
      <c r="P56" t="s">
        <v>74</v>
      </c>
      <c r="Q56" t="s">
        <v>74</v>
      </c>
      <c r="R56" t="s">
        <v>74</v>
      </c>
      <c r="S56" t="s">
        <v>74</v>
      </c>
      <c r="T56" t="s">
        <v>74</v>
      </c>
      <c r="U56" t="s">
        <v>74</v>
      </c>
      <c r="V56" t="b">
        <v>0</v>
      </c>
      <c r="W56" s="1" t="s">
        <v>663</v>
      </c>
      <c r="X56" t="s">
        <v>664</v>
      </c>
      <c r="Y56" t="s">
        <v>74</v>
      </c>
      <c r="Z56" t="s">
        <v>665</v>
      </c>
      <c r="AA56" t="s">
        <v>666</v>
      </c>
      <c r="AB56" t="s">
        <v>74</v>
      </c>
      <c r="AC56" t="s">
        <v>74</v>
      </c>
      <c r="AD56" t="s">
        <v>74</v>
      </c>
      <c r="AE56" t="s">
        <v>74</v>
      </c>
      <c r="AF56" t="s">
        <v>74</v>
      </c>
      <c r="AG56" t="s">
        <v>74</v>
      </c>
      <c r="AH56" t="s">
        <v>74</v>
      </c>
      <c r="AI56">
        <v>0</v>
      </c>
      <c r="AJ56">
        <v>0</v>
      </c>
      <c r="AK56" t="s">
        <v>74</v>
      </c>
      <c r="AL56" t="s">
        <v>74</v>
      </c>
      <c r="AM56" t="s">
        <v>74</v>
      </c>
      <c r="AN56" t="s">
        <v>74</v>
      </c>
      <c r="AO56" t="s">
        <v>74</v>
      </c>
      <c r="AP56" t="s">
        <v>74</v>
      </c>
      <c r="AQ56" t="s">
        <v>74</v>
      </c>
      <c r="AR56" t="s">
        <v>74</v>
      </c>
      <c r="AS56" t="s">
        <v>74</v>
      </c>
      <c r="AT56" t="s">
        <v>74</v>
      </c>
      <c r="AU56" t="s">
        <v>83</v>
      </c>
      <c r="AV56">
        <v>2026</v>
      </c>
      <c r="AW56">
        <v>14</v>
      </c>
      <c r="AX56">
        <v>2</v>
      </c>
      <c r="AY56" t="s">
        <v>74</v>
      </c>
      <c r="AZ56" t="s">
        <v>74</v>
      </c>
      <c r="BA56" t="s">
        <v>74</v>
      </c>
      <c r="BB56" t="s">
        <v>74</v>
      </c>
      <c r="BC56" t="s">
        <v>74</v>
      </c>
      <c r="BD56" t="s">
        <v>74</v>
      </c>
      <c r="BE56">
        <v>122078</v>
      </c>
      <c r="BF56" t="s">
        <v>667</v>
      </c>
      <c r="BG56" t="str">
        <f>HYPERLINK("http://dx.doi.org/10.1016/j.jece.2026.122078","http://dx.doi.org/10.1016/j.jece.2026.122078")</f>
        <v>http://dx.doi.org/10.1016/j.jece.2026.122078</v>
      </c>
      <c r="BH56" t="s">
        <v>74</v>
      </c>
      <c r="BI56" t="s">
        <v>74</v>
      </c>
      <c r="BJ56" t="s">
        <v>74</v>
      </c>
      <c r="BK56" t="s">
        <v>74</v>
      </c>
      <c r="BL56" t="s">
        <v>74</v>
      </c>
      <c r="BM56" t="s">
        <v>74</v>
      </c>
      <c r="BN56" t="s">
        <v>74</v>
      </c>
      <c r="BO56" t="s">
        <v>74</v>
      </c>
      <c r="BP56" t="s">
        <v>74</v>
      </c>
      <c r="BQ56" t="s">
        <v>74</v>
      </c>
      <c r="BR56" t="s">
        <v>74</v>
      </c>
      <c r="BS56" t="s">
        <v>86</v>
      </c>
      <c r="BT56" t="s">
        <v>668</v>
      </c>
      <c r="BU56" t="str">
        <f>HYPERLINK("https%3A%2F%2Fwww.webofscience.com%2Fwos%2Fwoscc%2Ffull-record%2FWOS:001715199200001","View Full Record in Web of Science")</f>
        <v>View Full Record in Web of Science</v>
      </c>
    </row>
    <row r="57" spans="1:73" ht="204" x14ac:dyDescent="0.2">
      <c r="A57" t="s">
        <v>72</v>
      </c>
      <c r="B57" t="s">
        <v>669</v>
      </c>
      <c r="C57" t="s">
        <v>74</v>
      </c>
      <c r="D57" t="s">
        <v>74</v>
      </c>
      <c r="E57" t="s">
        <v>74</v>
      </c>
      <c r="F57" t="s">
        <v>670</v>
      </c>
      <c r="G57" t="s">
        <v>74</v>
      </c>
      <c r="H57" t="s">
        <v>74</v>
      </c>
      <c r="I57" t="s">
        <v>671</v>
      </c>
      <c r="J57" t="s">
        <v>672</v>
      </c>
      <c r="K57" t="s">
        <v>74</v>
      </c>
      <c r="L57" t="s">
        <v>74</v>
      </c>
      <c r="M57" t="s">
        <v>74</v>
      </c>
      <c r="N57" t="s">
        <v>78</v>
      </c>
      <c r="O57" t="s">
        <v>74</v>
      </c>
      <c r="P57" t="s">
        <v>74</v>
      </c>
      <c r="Q57" t="s">
        <v>74</v>
      </c>
      <c r="R57" t="s">
        <v>74</v>
      </c>
      <c r="S57" t="s">
        <v>74</v>
      </c>
      <c r="T57" t="s">
        <v>74</v>
      </c>
      <c r="U57" t="s">
        <v>74</v>
      </c>
      <c r="V57" t="b">
        <v>1</v>
      </c>
      <c r="W57" s="1" t="s">
        <v>673</v>
      </c>
      <c r="X57" t="s">
        <v>674</v>
      </c>
      <c r="Y57" t="s">
        <v>74</v>
      </c>
      <c r="Z57" t="s">
        <v>675</v>
      </c>
      <c r="AA57" t="s">
        <v>676</v>
      </c>
      <c r="AB57" t="s">
        <v>74</v>
      </c>
      <c r="AC57" t="s">
        <v>74</v>
      </c>
      <c r="AD57" t="s">
        <v>74</v>
      </c>
      <c r="AE57" t="s">
        <v>74</v>
      </c>
      <c r="AF57" t="s">
        <v>74</v>
      </c>
      <c r="AG57" t="s">
        <v>74</v>
      </c>
      <c r="AH57" t="s">
        <v>74</v>
      </c>
      <c r="AI57">
        <v>4</v>
      </c>
      <c r="AJ57">
        <v>4</v>
      </c>
      <c r="AK57" t="s">
        <v>74</v>
      </c>
      <c r="AL57" t="s">
        <v>74</v>
      </c>
      <c r="AM57" t="s">
        <v>74</v>
      </c>
      <c r="AN57" t="s">
        <v>74</v>
      </c>
      <c r="AO57" t="s">
        <v>74</v>
      </c>
      <c r="AP57" t="s">
        <v>74</v>
      </c>
      <c r="AQ57" t="s">
        <v>74</v>
      </c>
      <c r="AR57" t="s">
        <v>74</v>
      </c>
      <c r="AS57" t="s">
        <v>74</v>
      </c>
      <c r="AT57" t="s">
        <v>74</v>
      </c>
      <c r="AU57" t="s">
        <v>190</v>
      </c>
      <c r="AV57">
        <v>2025</v>
      </c>
      <c r="AW57">
        <v>9</v>
      </c>
      <c r="AX57" t="s">
        <v>74</v>
      </c>
      <c r="AY57" t="s">
        <v>74</v>
      </c>
      <c r="AZ57" t="s">
        <v>74</v>
      </c>
      <c r="BA57" t="s">
        <v>74</v>
      </c>
      <c r="BB57" t="s">
        <v>74</v>
      </c>
      <c r="BC57" t="s">
        <v>74</v>
      </c>
      <c r="BD57" t="s">
        <v>74</v>
      </c>
      <c r="BE57">
        <v>100518</v>
      </c>
      <c r="BF57" t="s">
        <v>677</v>
      </c>
      <c r="BG57" t="str">
        <f>HYPERLINK("http://dx.doi.org/10.1016/j.sftr.2025.100518","http://dx.doi.org/10.1016/j.sftr.2025.100518")</f>
        <v>http://dx.doi.org/10.1016/j.sftr.2025.100518</v>
      </c>
      <c r="BH57" t="s">
        <v>74</v>
      </c>
      <c r="BI57" t="s">
        <v>678</v>
      </c>
      <c r="BJ57" t="s">
        <v>74</v>
      </c>
      <c r="BK57" t="s">
        <v>74</v>
      </c>
      <c r="BL57" t="s">
        <v>74</v>
      </c>
      <c r="BM57" t="s">
        <v>74</v>
      </c>
      <c r="BN57" t="s">
        <v>74</v>
      </c>
      <c r="BO57" t="s">
        <v>74</v>
      </c>
      <c r="BP57" t="s">
        <v>74</v>
      </c>
      <c r="BQ57" t="s">
        <v>74</v>
      </c>
      <c r="BR57" t="s">
        <v>74</v>
      </c>
      <c r="BS57" t="s">
        <v>86</v>
      </c>
      <c r="BT57" t="s">
        <v>679</v>
      </c>
      <c r="BU57" t="str">
        <f>HYPERLINK("https%3A%2F%2Fwww.webofscience.com%2Fwos%2Fwoscc%2Ffull-record%2FWOS:001450480400001","View Full Record in Web of Science")</f>
        <v>View Full Record in Web of Science</v>
      </c>
    </row>
    <row r="58" spans="1:73" ht="204" x14ac:dyDescent="0.2">
      <c r="A58" t="s">
        <v>72</v>
      </c>
      <c r="B58" t="s">
        <v>680</v>
      </c>
      <c r="C58" t="s">
        <v>74</v>
      </c>
      <c r="D58" t="s">
        <v>74</v>
      </c>
      <c r="E58" t="s">
        <v>74</v>
      </c>
      <c r="F58" t="s">
        <v>681</v>
      </c>
      <c r="G58" t="s">
        <v>74</v>
      </c>
      <c r="H58" t="s">
        <v>74</v>
      </c>
      <c r="I58" t="s">
        <v>682</v>
      </c>
      <c r="J58" t="s">
        <v>683</v>
      </c>
      <c r="K58" t="s">
        <v>74</v>
      </c>
      <c r="L58" t="s">
        <v>74</v>
      </c>
      <c r="M58" t="s">
        <v>74</v>
      </c>
      <c r="N58" t="s">
        <v>78</v>
      </c>
      <c r="O58" t="s">
        <v>74</v>
      </c>
      <c r="P58" t="s">
        <v>74</v>
      </c>
      <c r="Q58" t="s">
        <v>74</v>
      </c>
      <c r="R58" t="s">
        <v>74</v>
      </c>
      <c r="S58" t="s">
        <v>74</v>
      </c>
      <c r="T58" t="s">
        <v>74</v>
      </c>
      <c r="U58" t="s">
        <v>74</v>
      </c>
      <c r="V58" t="b">
        <v>0</v>
      </c>
      <c r="W58" s="1" t="s">
        <v>684</v>
      </c>
      <c r="X58" t="s">
        <v>685</v>
      </c>
      <c r="Y58" t="s">
        <v>74</v>
      </c>
      <c r="Z58" t="s">
        <v>686</v>
      </c>
      <c r="AA58" t="s">
        <v>687</v>
      </c>
      <c r="AB58" t="s">
        <v>74</v>
      </c>
      <c r="AC58" t="s">
        <v>74</v>
      </c>
      <c r="AD58" t="s">
        <v>74</v>
      </c>
      <c r="AE58" t="s">
        <v>74</v>
      </c>
      <c r="AF58" t="s">
        <v>74</v>
      </c>
      <c r="AG58" t="s">
        <v>74</v>
      </c>
      <c r="AH58" t="s">
        <v>74</v>
      </c>
      <c r="AI58">
        <v>33</v>
      </c>
      <c r="AJ58">
        <v>38</v>
      </c>
      <c r="AK58" t="s">
        <v>74</v>
      </c>
      <c r="AL58" t="s">
        <v>74</v>
      </c>
      <c r="AM58" t="s">
        <v>74</v>
      </c>
      <c r="AN58" t="s">
        <v>74</v>
      </c>
      <c r="AO58" t="s">
        <v>74</v>
      </c>
      <c r="AP58" t="s">
        <v>74</v>
      </c>
      <c r="AQ58" t="s">
        <v>74</v>
      </c>
      <c r="AR58" t="s">
        <v>74</v>
      </c>
      <c r="AS58" t="s">
        <v>74</v>
      </c>
      <c r="AT58" t="s">
        <v>74</v>
      </c>
      <c r="AU58" t="s">
        <v>372</v>
      </c>
      <c r="AV58">
        <v>2021</v>
      </c>
      <c r="AW58">
        <v>25</v>
      </c>
      <c r="AX58">
        <v>4</v>
      </c>
      <c r="AY58" t="s">
        <v>74</v>
      </c>
      <c r="AZ58" t="s">
        <v>74</v>
      </c>
      <c r="BA58" t="s">
        <v>74</v>
      </c>
      <c r="BB58" t="s">
        <v>74</v>
      </c>
      <c r="BC58">
        <v>1051</v>
      </c>
      <c r="BD58">
        <v>1062</v>
      </c>
      <c r="BE58" t="s">
        <v>74</v>
      </c>
      <c r="BF58" t="s">
        <v>688</v>
      </c>
      <c r="BG58" t="str">
        <f>HYPERLINK("http://dx.doi.org/10.1111/jiec.13094","http://dx.doi.org/10.1111/jiec.13094")</f>
        <v>http://dx.doi.org/10.1111/jiec.13094</v>
      </c>
      <c r="BH58" t="s">
        <v>74</v>
      </c>
      <c r="BI58" t="s">
        <v>689</v>
      </c>
      <c r="BJ58" t="s">
        <v>74</v>
      </c>
      <c r="BK58" t="s">
        <v>74</v>
      </c>
      <c r="BL58" t="s">
        <v>74</v>
      </c>
      <c r="BM58" t="s">
        <v>74</v>
      </c>
      <c r="BN58" t="s">
        <v>74</v>
      </c>
      <c r="BO58" t="s">
        <v>74</v>
      </c>
      <c r="BP58" t="s">
        <v>74</v>
      </c>
      <c r="BQ58" t="s">
        <v>74</v>
      </c>
      <c r="BR58" t="s">
        <v>74</v>
      </c>
      <c r="BS58" t="s">
        <v>86</v>
      </c>
      <c r="BT58" t="s">
        <v>690</v>
      </c>
      <c r="BU58" t="str">
        <f>HYPERLINK("https%3A%2F%2Fwww.webofscience.com%2Fwos%2Fwoscc%2Ffull-record%2FWOS:000600580200001","View Full Record in Web of Science")</f>
        <v>View Full Record in Web of Science</v>
      </c>
    </row>
    <row r="59" spans="1:73" ht="136" x14ac:dyDescent="0.2">
      <c r="A59" t="s">
        <v>72</v>
      </c>
      <c r="B59" t="s">
        <v>691</v>
      </c>
      <c r="C59" t="s">
        <v>74</v>
      </c>
      <c r="D59" t="s">
        <v>74</v>
      </c>
      <c r="E59" t="s">
        <v>74</v>
      </c>
      <c r="F59" t="s">
        <v>692</v>
      </c>
      <c r="G59" t="s">
        <v>74</v>
      </c>
      <c r="H59" t="s">
        <v>74</v>
      </c>
      <c r="I59" t="s">
        <v>693</v>
      </c>
      <c r="J59" t="s">
        <v>250</v>
      </c>
      <c r="K59" t="s">
        <v>74</v>
      </c>
      <c r="L59" t="s">
        <v>74</v>
      </c>
      <c r="M59" t="s">
        <v>74</v>
      </c>
      <c r="N59" t="s">
        <v>251</v>
      </c>
      <c r="O59" t="s">
        <v>74</v>
      </c>
      <c r="P59" t="s">
        <v>74</v>
      </c>
      <c r="Q59" t="s">
        <v>74</v>
      </c>
      <c r="R59" t="s">
        <v>74</v>
      </c>
      <c r="S59" t="s">
        <v>74</v>
      </c>
      <c r="T59" t="s">
        <v>74</v>
      </c>
      <c r="U59" t="s">
        <v>74</v>
      </c>
      <c r="V59" t="b">
        <v>1</v>
      </c>
      <c r="W59" s="1" t="s">
        <v>694</v>
      </c>
      <c r="X59" t="s">
        <v>695</v>
      </c>
      <c r="Y59" t="s">
        <v>74</v>
      </c>
      <c r="Z59" t="s">
        <v>696</v>
      </c>
      <c r="AA59" t="s">
        <v>697</v>
      </c>
      <c r="AB59" t="s">
        <v>74</v>
      </c>
      <c r="AC59" t="s">
        <v>74</v>
      </c>
      <c r="AD59" t="s">
        <v>74</v>
      </c>
      <c r="AE59" t="s">
        <v>74</v>
      </c>
      <c r="AF59" t="s">
        <v>74</v>
      </c>
      <c r="AG59" t="s">
        <v>74</v>
      </c>
      <c r="AH59" t="s">
        <v>74</v>
      </c>
      <c r="AI59">
        <v>1</v>
      </c>
      <c r="AJ59">
        <v>1</v>
      </c>
      <c r="AK59" t="s">
        <v>74</v>
      </c>
      <c r="AL59" t="s">
        <v>74</v>
      </c>
      <c r="AM59" t="s">
        <v>74</v>
      </c>
      <c r="AN59" t="s">
        <v>74</v>
      </c>
      <c r="AO59" t="s">
        <v>74</v>
      </c>
      <c r="AP59" t="s">
        <v>74</v>
      </c>
      <c r="AQ59" t="s">
        <v>74</v>
      </c>
      <c r="AR59" t="s">
        <v>74</v>
      </c>
      <c r="AS59" t="s">
        <v>74</v>
      </c>
      <c r="AT59" t="s">
        <v>74</v>
      </c>
      <c r="AU59" t="s">
        <v>698</v>
      </c>
      <c r="AV59">
        <v>2025</v>
      </c>
      <c r="AW59" t="s">
        <v>74</v>
      </c>
      <c r="AX59" t="s">
        <v>74</v>
      </c>
      <c r="AY59" t="s">
        <v>74</v>
      </c>
      <c r="AZ59" t="s">
        <v>74</v>
      </c>
      <c r="BA59" t="s">
        <v>74</v>
      </c>
      <c r="BB59" t="s">
        <v>74</v>
      </c>
      <c r="BC59" t="s">
        <v>74</v>
      </c>
      <c r="BD59" t="s">
        <v>74</v>
      </c>
      <c r="BE59" t="s">
        <v>74</v>
      </c>
      <c r="BF59" t="s">
        <v>699</v>
      </c>
      <c r="BG59" t="str">
        <f>HYPERLINK("http://dx.doi.org/10.1007/s13563-025-00527-5","http://dx.doi.org/10.1007/s13563-025-00527-5")</f>
        <v>http://dx.doi.org/10.1007/s13563-025-00527-5</v>
      </c>
      <c r="BH59" t="s">
        <v>74</v>
      </c>
      <c r="BI59" t="s">
        <v>157</v>
      </c>
      <c r="BJ59" t="s">
        <v>74</v>
      </c>
      <c r="BK59" t="s">
        <v>74</v>
      </c>
      <c r="BL59" t="s">
        <v>74</v>
      </c>
      <c r="BM59" t="s">
        <v>74</v>
      </c>
      <c r="BN59" t="s">
        <v>74</v>
      </c>
      <c r="BO59" t="s">
        <v>74</v>
      </c>
      <c r="BP59" t="s">
        <v>74</v>
      </c>
      <c r="BQ59" t="s">
        <v>74</v>
      </c>
      <c r="BR59" t="s">
        <v>74</v>
      </c>
      <c r="BS59" t="s">
        <v>86</v>
      </c>
      <c r="BT59" t="s">
        <v>700</v>
      </c>
      <c r="BU59" t="str">
        <f>HYPERLINK("https%3A%2F%2Fwww.webofscience.com%2Fwos%2Fwoscc%2Ffull-record%2FWOS:001513488400001","View Full Record in Web of Science")</f>
        <v>View Full Record in Web of Science</v>
      </c>
    </row>
    <row r="60" spans="1:73" ht="136" x14ac:dyDescent="0.2">
      <c r="A60" t="s">
        <v>72</v>
      </c>
      <c r="B60" t="s">
        <v>701</v>
      </c>
      <c r="C60" t="s">
        <v>74</v>
      </c>
      <c r="D60" t="s">
        <v>74</v>
      </c>
      <c r="E60" t="s">
        <v>74</v>
      </c>
      <c r="F60" t="s">
        <v>702</v>
      </c>
      <c r="G60" t="s">
        <v>74</v>
      </c>
      <c r="H60" t="s">
        <v>74</v>
      </c>
      <c r="I60" t="s">
        <v>703</v>
      </c>
      <c r="J60" t="s">
        <v>704</v>
      </c>
      <c r="K60" t="s">
        <v>74</v>
      </c>
      <c r="L60" t="s">
        <v>74</v>
      </c>
      <c r="M60" t="s">
        <v>74</v>
      </c>
      <c r="N60" t="s">
        <v>78</v>
      </c>
      <c r="O60" t="s">
        <v>74</v>
      </c>
      <c r="P60" t="s">
        <v>74</v>
      </c>
      <c r="Q60" t="s">
        <v>74</v>
      </c>
      <c r="R60" t="s">
        <v>74</v>
      </c>
      <c r="S60" t="s">
        <v>74</v>
      </c>
      <c r="T60" t="s">
        <v>74</v>
      </c>
      <c r="U60" t="s">
        <v>74</v>
      </c>
      <c r="V60" t="b">
        <v>0</v>
      </c>
      <c r="W60" s="1" t="s">
        <v>705</v>
      </c>
      <c r="X60" t="s">
        <v>706</v>
      </c>
      <c r="Y60" t="s">
        <v>74</v>
      </c>
      <c r="Z60" t="s">
        <v>707</v>
      </c>
      <c r="AA60" t="s">
        <v>708</v>
      </c>
      <c r="AB60" t="s">
        <v>74</v>
      </c>
      <c r="AC60" t="s">
        <v>74</v>
      </c>
      <c r="AD60" t="s">
        <v>74</v>
      </c>
      <c r="AE60" t="s">
        <v>74</v>
      </c>
      <c r="AF60" t="s">
        <v>74</v>
      </c>
      <c r="AG60" t="s">
        <v>74</v>
      </c>
      <c r="AH60" t="s">
        <v>74</v>
      </c>
      <c r="AI60">
        <v>3</v>
      </c>
      <c r="AJ60">
        <v>3</v>
      </c>
      <c r="AK60" t="s">
        <v>74</v>
      </c>
      <c r="AL60" t="s">
        <v>74</v>
      </c>
      <c r="AM60" t="s">
        <v>74</v>
      </c>
      <c r="AN60" t="s">
        <v>74</v>
      </c>
      <c r="AO60" t="s">
        <v>74</v>
      </c>
      <c r="AP60" t="s">
        <v>74</v>
      </c>
      <c r="AQ60" t="s">
        <v>74</v>
      </c>
      <c r="AR60" t="s">
        <v>74</v>
      </c>
      <c r="AS60" t="s">
        <v>74</v>
      </c>
      <c r="AT60" t="s">
        <v>74</v>
      </c>
      <c r="AU60" t="s">
        <v>468</v>
      </c>
      <c r="AV60">
        <v>2021</v>
      </c>
      <c r="AW60">
        <v>13</v>
      </c>
      <c r="AX60">
        <v>21</v>
      </c>
      <c r="AY60" t="s">
        <v>74</v>
      </c>
      <c r="AZ60" t="s">
        <v>74</v>
      </c>
      <c r="BA60" t="s">
        <v>74</v>
      </c>
      <c r="BB60" t="s">
        <v>74</v>
      </c>
      <c r="BC60" t="s">
        <v>74</v>
      </c>
      <c r="BD60" t="s">
        <v>74</v>
      </c>
      <c r="BE60">
        <v>11826</v>
      </c>
      <c r="BF60" t="s">
        <v>709</v>
      </c>
      <c r="BG60" t="str">
        <f>HYPERLINK("http://dx.doi.org/10.3390/su132111826","http://dx.doi.org/10.3390/su132111826")</f>
        <v>http://dx.doi.org/10.3390/su132111826</v>
      </c>
      <c r="BH60" t="s">
        <v>74</v>
      </c>
      <c r="BI60" t="s">
        <v>74</v>
      </c>
      <c r="BJ60" t="s">
        <v>74</v>
      </c>
      <c r="BK60" t="s">
        <v>74</v>
      </c>
      <c r="BL60" t="s">
        <v>74</v>
      </c>
      <c r="BM60" t="s">
        <v>74</v>
      </c>
      <c r="BN60" t="s">
        <v>74</v>
      </c>
      <c r="BO60" t="s">
        <v>74</v>
      </c>
      <c r="BP60" t="s">
        <v>74</v>
      </c>
      <c r="BQ60" t="s">
        <v>74</v>
      </c>
      <c r="BR60" t="s">
        <v>74</v>
      </c>
      <c r="BS60" t="s">
        <v>86</v>
      </c>
      <c r="BT60" t="s">
        <v>710</v>
      </c>
      <c r="BU60" t="str">
        <f>HYPERLINK("https%3A%2F%2Fwww.webofscience.com%2Fwos%2Fwoscc%2Ffull-record%2FWOS:000719373600001","View Full Record in Web of Science")</f>
        <v>View Full Record in Web of Science</v>
      </c>
    </row>
    <row r="61" spans="1:73" ht="238" x14ac:dyDescent="0.2">
      <c r="A61" t="s">
        <v>72</v>
      </c>
      <c r="B61" t="s">
        <v>711</v>
      </c>
      <c r="C61" t="s">
        <v>74</v>
      </c>
      <c r="D61" t="s">
        <v>74</v>
      </c>
      <c r="E61" t="s">
        <v>74</v>
      </c>
      <c r="F61" t="s">
        <v>712</v>
      </c>
      <c r="G61" t="s">
        <v>74</v>
      </c>
      <c r="H61" t="s">
        <v>74</v>
      </c>
      <c r="I61" t="s">
        <v>713</v>
      </c>
      <c r="J61" t="s">
        <v>714</v>
      </c>
      <c r="K61" t="s">
        <v>74</v>
      </c>
      <c r="L61" t="s">
        <v>74</v>
      </c>
      <c r="M61" t="s">
        <v>74</v>
      </c>
      <c r="N61" t="s">
        <v>452</v>
      </c>
      <c r="O61" t="s">
        <v>74</v>
      </c>
      <c r="P61" t="s">
        <v>74</v>
      </c>
      <c r="Q61" t="s">
        <v>74</v>
      </c>
      <c r="R61" t="s">
        <v>74</v>
      </c>
      <c r="S61" t="s">
        <v>74</v>
      </c>
      <c r="T61" t="s">
        <v>74</v>
      </c>
      <c r="U61" t="s">
        <v>74</v>
      </c>
      <c r="V61" t="b">
        <v>0</v>
      </c>
      <c r="W61" s="1" t="s">
        <v>715</v>
      </c>
      <c r="X61" t="s">
        <v>716</v>
      </c>
      <c r="Y61" t="s">
        <v>74</v>
      </c>
      <c r="Z61" t="s">
        <v>717</v>
      </c>
      <c r="AA61" t="s">
        <v>718</v>
      </c>
      <c r="AB61" t="s">
        <v>74</v>
      </c>
      <c r="AC61" t="s">
        <v>74</v>
      </c>
      <c r="AD61" t="s">
        <v>74</v>
      </c>
      <c r="AE61" t="s">
        <v>74</v>
      </c>
      <c r="AF61" t="s">
        <v>74</v>
      </c>
      <c r="AG61" t="s">
        <v>74</v>
      </c>
      <c r="AH61" t="s">
        <v>74</v>
      </c>
      <c r="AI61">
        <v>8</v>
      </c>
      <c r="AJ61">
        <v>8</v>
      </c>
      <c r="AK61" t="s">
        <v>74</v>
      </c>
      <c r="AL61" t="s">
        <v>74</v>
      </c>
      <c r="AM61" t="s">
        <v>74</v>
      </c>
      <c r="AN61" t="s">
        <v>74</v>
      </c>
      <c r="AO61" t="s">
        <v>74</v>
      </c>
      <c r="AP61" t="s">
        <v>74</v>
      </c>
      <c r="AQ61" t="s">
        <v>74</v>
      </c>
      <c r="AR61" t="s">
        <v>74</v>
      </c>
      <c r="AS61" t="s">
        <v>74</v>
      </c>
      <c r="AT61" t="s">
        <v>74</v>
      </c>
      <c r="AU61" t="s">
        <v>269</v>
      </c>
      <c r="AV61">
        <v>2024</v>
      </c>
      <c r="AW61">
        <v>11</v>
      </c>
      <c r="AX61">
        <v>1</v>
      </c>
      <c r="AY61" t="s">
        <v>74</v>
      </c>
      <c r="AZ61" t="s">
        <v>74</v>
      </c>
      <c r="BA61" t="s">
        <v>74</v>
      </c>
      <c r="BB61" t="s">
        <v>74</v>
      </c>
      <c r="BC61">
        <v>173</v>
      </c>
      <c r="BD61">
        <v>180</v>
      </c>
      <c r="BE61" t="s">
        <v>74</v>
      </c>
      <c r="BF61" t="s">
        <v>719</v>
      </c>
      <c r="BG61" t="str">
        <f>HYPERLINK("http://dx.doi.org/10.1557/s43581-023-00077-9","http://dx.doi.org/10.1557/s43581-023-00077-9")</f>
        <v>http://dx.doi.org/10.1557/s43581-023-00077-9</v>
      </c>
      <c r="BH61" t="s">
        <v>74</v>
      </c>
      <c r="BI61" t="s">
        <v>122</v>
      </c>
      <c r="BJ61" t="s">
        <v>74</v>
      </c>
      <c r="BK61" t="s">
        <v>74</v>
      </c>
      <c r="BL61" t="s">
        <v>74</v>
      </c>
      <c r="BM61" t="s">
        <v>74</v>
      </c>
      <c r="BN61" t="s">
        <v>74</v>
      </c>
      <c r="BO61" t="s">
        <v>74</v>
      </c>
      <c r="BP61" t="s">
        <v>74</v>
      </c>
      <c r="BQ61" t="s">
        <v>74</v>
      </c>
      <c r="BR61" t="s">
        <v>74</v>
      </c>
      <c r="BS61" t="s">
        <v>86</v>
      </c>
      <c r="BT61" t="s">
        <v>720</v>
      </c>
      <c r="BU61" t="str">
        <f>HYPERLINK("https%3A%2F%2Fwww.webofscience.com%2Fwos%2Fwoscc%2Ffull-record%2FWOS:001145337400001","View Full Record in Web of Science")</f>
        <v>View Full Record in Web of Science</v>
      </c>
    </row>
    <row r="62" spans="1:73" ht="153" x14ac:dyDescent="0.2">
      <c r="A62" t="s">
        <v>72</v>
      </c>
      <c r="B62" t="s">
        <v>721</v>
      </c>
      <c r="C62" t="s">
        <v>74</v>
      </c>
      <c r="D62" t="s">
        <v>74</v>
      </c>
      <c r="E62" t="s">
        <v>74</v>
      </c>
      <c r="F62" t="s">
        <v>722</v>
      </c>
      <c r="G62" t="s">
        <v>74</v>
      </c>
      <c r="H62" t="s">
        <v>74</v>
      </c>
      <c r="I62" t="s">
        <v>723</v>
      </c>
      <c r="J62" t="s">
        <v>250</v>
      </c>
      <c r="K62" t="s">
        <v>74</v>
      </c>
      <c r="L62" t="s">
        <v>74</v>
      </c>
      <c r="M62" t="s">
        <v>74</v>
      </c>
      <c r="N62" t="s">
        <v>78</v>
      </c>
      <c r="O62" t="s">
        <v>74</v>
      </c>
      <c r="P62" t="s">
        <v>74</v>
      </c>
      <c r="Q62" t="s">
        <v>74</v>
      </c>
      <c r="R62" t="s">
        <v>74</v>
      </c>
      <c r="S62" t="s">
        <v>74</v>
      </c>
      <c r="T62" t="s">
        <v>74</v>
      </c>
      <c r="U62" t="s">
        <v>74</v>
      </c>
      <c r="V62" t="b">
        <v>0</v>
      </c>
      <c r="W62" s="1" t="s">
        <v>724</v>
      </c>
      <c r="X62" t="s">
        <v>725</v>
      </c>
      <c r="Y62" t="s">
        <v>74</v>
      </c>
      <c r="Z62" t="s">
        <v>726</v>
      </c>
      <c r="AA62" t="s">
        <v>727</v>
      </c>
      <c r="AB62" t="s">
        <v>74</v>
      </c>
      <c r="AC62" t="s">
        <v>74</v>
      </c>
      <c r="AD62" t="s">
        <v>74</v>
      </c>
      <c r="AE62" t="s">
        <v>74</v>
      </c>
      <c r="AF62" t="s">
        <v>74</v>
      </c>
      <c r="AG62" t="s">
        <v>74</v>
      </c>
      <c r="AH62" t="s">
        <v>74</v>
      </c>
      <c r="AI62">
        <v>5</v>
      </c>
      <c r="AJ62">
        <v>8</v>
      </c>
      <c r="AK62" t="s">
        <v>74</v>
      </c>
      <c r="AL62" t="s">
        <v>74</v>
      </c>
      <c r="AM62" t="s">
        <v>74</v>
      </c>
      <c r="AN62" t="s">
        <v>74</v>
      </c>
      <c r="AO62" t="s">
        <v>74</v>
      </c>
      <c r="AP62" t="s">
        <v>74</v>
      </c>
      <c r="AQ62" t="s">
        <v>74</v>
      </c>
      <c r="AR62" t="s">
        <v>74</v>
      </c>
      <c r="AS62" t="s">
        <v>74</v>
      </c>
      <c r="AT62" t="s">
        <v>74</v>
      </c>
      <c r="AU62" t="s">
        <v>155</v>
      </c>
      <c r="AV62">
        <v>2024</v>
      </c>
      <c r="AW62">
        <v>37</v>
      </c>
      <c r="AX62">
        <v>3</v>
      </c>
      <c r="AY62" t="s">
        <v>74</v>
      </c>
      <c r="AZ62" t="s">
        <v>74</v>
      </c>
      <c r="BA62" t="s">
        <v>74</v>
      </c>
      <c r="BB62" t="s">
        <v>74</v>
      </c>
      <c r="BC62">
        <v>433</v>
      </c>
      <c r="BD62">
        <v>444</v>
      </c>
      <c r="BE62" t="s">
        <v>74</v>
      </c>
      <c r="BF62" t="s">
        <v>728</v>
      </c>
      <c r="BG62" t="str">
        <f>HYPERLINK("http://dx.doi.org/10.1007/s13563-023-00388-w","http://dx.doi.org/10.1007/s13563-023-00388-w")</f>
        <v>http://dx.doi.org/10.1007/s13563-023-00388-w</v>
      </c>
      <c r="BH62" t="s">
        <v>74</v>
      </c>
      <c r="BI62" t="s">
        <v>729</v>
      </c>
      <c r="BJ62" t="s">
        <v>74</v>
      </c>
      <c r="BK62" t="s">
        <v>74</v>
      </c>
      <c r="BL62" t="s">
        <v>74</v>
      </c>
      <c r="BM62" t="s">
        <v>74</v>
      </c>
      <c r="BN62" t="s">
        <v>74</v>
      </c>
      <c r="BO62" t="s">
        <v>74</v>
      </c>
      <c r="BP62" t="s">
        <v>74</v>
      </c>
      <c r="BQ62" t="s">
        <v>74</v>
      </c>
      <c r="BR62" t="s">
        <v>74</v>
      </c>
      <c r="BS62" t="s">
        <v>86</v>
      </c>
      <c r="BT62" t="s">
        <v>730</v>
      </c>
      <c r="BU62" t="str">
        <f>HYPERLINK("https%3A%2F%2Fwww.webofscience.com%2Fwos%2Fwoscc%2Ffull-record%2FWOS:001050906200001","View Full Record in Web of Science")</f>
        <v>View Full Record in Web of Science</v>
      </c>
    </row>
    <row r="63" spans="1:73" ht="136" x14ac:dyDescent="0.2">
      <c r="A63" t="s">
        <v>72</v>
      </c>
      <c r="B63" t="s">
        <v>731</v>
      </c>
      <c r="C63" t="s">
        <v>74</v>
      </c>
      <c r="D63" t="s">
        <v>74</v>
      </c>
      <c r="E63" t="s">
        <v>74</v>
      </c>
      <c r="F63" t="s">
        <v>732</v>
      </c>
      <c r="G63" t="s">
        <v>74</v>
      </c>
      <c r="H63" t="s">
        <v>74</v>
      </c>
      <c r="I63" t="s">
        <v>733</v>
      </c>
      <c r="J63" t="s">
        <v>734</v>
      </c>
      <c r="K63" t="s">
        <v>74</v>
      </c>
      <c r="L63" t="s">
        <v>74</v>
      </c>
      <c r="M63" t="s">
        <v>74</v>
      </c>
      <c r="N63" t="s">
        <v>78</v>
      </c>
      <c r="O63" t="s">
        <v>74</v>
      </c>
      <c r="P63" t="s">
        <v>74</v>
      </c>
      <c r="Q63" t="s">
        <v>74</v>
      </c>
      <c r="R63" t="s">
        <v>74</v>
      </c>
      <c r="S63" t="s">
        <v>74</v>
      </c>
      <c r="T63" t="s">
        <v>74</v>
      </c>
      <c r="U63" t="s">
        <v>74</v>
      </c>
      <c r="V63" t="b">
        <v>0</v>
      </c>
      <c r="W63" s="1" t="s">
        <v>735</v>
      </c>
      <c r="X63" t="s">
        <v>736</v>
      </c>
      <c r="Y63" t="s">
        <v>74</v>
      </c>
      <c r="Z63" t="s">
        <v>737</v>
      </c>
      <c r="AA63" t="s">
        <v>738</v>
      </c>
      <c r="AB63" t="s">
        <v>74</v>
      </c>
      <c r="AC63" t="s">
        <v>74</v>
      </c>
      <c r="AD63" t="s">
        <v>74</v>
      </c>
      <c r="AE63" t="s">
        <v>74</v>
      </c>
      <c r="AF63" t="s">
        <v>74</v>
      </c>
      <c r="AG63" t="s">
        <v>74</v>
      </c>
      <c r="AH63" t="s">
        <v>74</v>
      </c>
      <c r="AI63">
        <v>172</v>
      </c>
      <c r="AJ63">
        <v>195</v>
      </c>
      <c r="AK63" t="s">
        <v>74</v>
      </c>
      <c r="AL63" t="s">
        <v>74</v>
      </c>
      <c r="AM63" t="s">
        <v>74</v>
      </c>
      <c r="AN63" t="s">
        <v>74</v>
      </c>
      <c r="AO63" t="s">
        <v>74</v>
      </c>
      <c r="AP63" t="s">
        <v>74</v>
      </c>
      <c r="AQ63" t="s">
        <v>74</v>
      </c>
      <c r="AR63" t="s">
        <v>74</v>
      </c>
      <c r="AS63" t="s">
        <v>74</v>
      </c>
      <c r="AT63" t="s">
        <v>74</v>
      </c>
      <c r="AU63" t="s">
        <v>269</v>
      </c>
      <c r="AV63">
        <v>2022</v>
      </c>
      <c r="AW63">
        <v>41</v>
      </c>
      <c r="AX63" t="s">
        <v>74</v>
      </c>
      <c r="AY63" t="s">
        <v>74</v>
      </c>
      <c r="AZ63" t="s">
        <v>74</v>
      </c>
      <c r="BA63" t="s">
        <v>456</v>
      </c>
      <c r="BB63" t="s">
        <v>74</v>
      </c>
      <c r="BC63" t="s">
        <v>74</v>
      </c>
      <c r="BD63" t="s">
        <v>74</v>
      </c>
      <c r="BE63">
        <v>100640</v>
      </c>
      <c r="BF63" t="s">
        <v>739</v>
      </c>
      <c r="BG63" t="str">
        <f>HYPERLINK("http://dx.doi.org/10.1016/j.envdev.2021.100640","http://dx.doi.org/10.1016/j.envdev.2021.100640")</f>
        <v>http://dx.doi.org/10.1016/j.envdev.2021.100640</v>
      </c>
      <c r="BH63" t="s">
        <v>74</v>
      </c>
      <c r="BI63" t="s">
        <v>740</v>
      </c>
      <c r="BJ63" t="s">
        <v>74</v>
      </c>
      <c r="BK63" t="s">
        <v>74</v>
      </c>
      <c r="BL63" t="s">
        <v>74</v>
      </c>
      <c r="BM63" t="s">
        <v>74</v>
      </c>
      <c r="BN63" t="s">
        <v>74</v>
      </c>
      <c r="BO63" t="s">
        <v>74</v>
      </c>
      <c r="BP63" t="s">
        <v>74</v>
      </c>
      <c r="BQ63" t="s">
        <v>98</v>
      </c>
      <c r="BR63" t="s">
        <v>636</v>
      </c>
      <c r="BS63" t="s">
        <v>86</v>
      </c>
      <c r="BT63" t="s">
        <v>741</v>
      </c>
      <c r="BU63" t="str">
        <f>HYPERLINK("https%3A%2F%2Fwww.webofscience.com%2Fwos%2Fwoscc%2Ffull-record%2FWOS:000771013100006","View Full Record in Web of Science")</f>
        <v>View Full Record in Web of Science</v>
      </c>
    </row>
    <row r="64" spans="1:73" ht="187" x14ac:dyDescent="0.2">
      <c r="A64" t="s">
        <v>72</v>
      </c>
      <c r="B64" t="s">
        <v>742</v>
      </c>
      <c r="C64" t="s">
        <v>74</v>
      </c>
      <c r="D64" t="s">
        <v>74</v>
      </c>
      <c r="E64" t="s">
        <v>74</v>
      </c>
      <c r="F64" t="s">
        <v>743</v>
      </c>
      <c r="G64" t="s">
        <v>74</v>
      </c>
      <c r="H64" t="s">
        <v>74</v>
      </c>
      <c r="I64" t="s">
        <v>744</v>
      </c>
      <c r="J64" t="s">
        <v>745</v>
      </c>
      <c r="K64" t="s">
        <v>74</v>
      </c>
      <c r="L64" t="s">
        <v>74</v>
      </c>
      <c r="M64" t="s">
        <v>74</v>
      </c>
      <c r="N64" t="s">
        <v>78</v>
      </c>
      <c r="O64" t="s">
        <v>74</v>
      </c>
      <c r="P64" t="s">
        <v>74</v>
      </c>
      <c r="Q64" t="s">
        <v>74</v>
      </c>
      <c r="R64" t="s">
        <v>74</v>
      </c>
      <c r="S64" t="s">
        <v>74</v>
      </c>
      <c r="T64" t="s">
        <v>74</v>
      </c>
      <c r="U64" t="s">
        <v>74</v>
      </c>
      <c r="V64" t="b">
        <v>0</v>
      </c>
      <c r="W64" s="1" t="s">
        <v>746</v>
      </c>
      <c r="X64" t="s">
        <v>747</v>
      </c>
      <c r="Y64" t="s">
        <v>74</v>
      </c>
      <c r="Z64" t="s">
        <v>748</v>
      </c>
      <c r="AA64" t="s">
        <v>749</v>
      </c>
      <c r="AB64" t="s">
        <v>74</v>
      </c>
      <c r="AC64" t="s">
        <v>74</v>
      </c>
      <c r="AD64" t="s">
        <v>74</v>
      </c>
      <c r="AE64" t="s">
        <v>74</v>
      </c>
      <c r="AF64" t="s">
        <v>74</v>
      </c>
      <c r="AG64" t="s">
        <v>74</v>
      </c>
      <c r="AH64" t="s">
        <v>74</v>
      </c>
      <c r="AI64">
        <v>2</v>
      </c>
      <c r="AJ64">
        <v>2</v>
      </c>
      <c r="AK64" t="s">
        <v>74</v>
      </c>
      <c r="AL64" t="s">
        <v>74</v>
      </c>
      <c r="AM64" t="s">
        <v>74</v>
      </c>
      <c r="AN64" t="s">
        <v>74</v>
      </c>
      <c r="AO64" t="s">
        <v>74</v>
      </c>
      <c r="AP64" t="s">
        <v>74</v>
      </c>
      <c r="AQ64" t="s">
        <v>74</v>
      </c>
      <c r="AR64" t="s">
        <v>74</v>
      </c>
      <c r="AS64" t="s">
        <v>74</v>
      </c>
      <c r="AT64" t="s">
        <v>74</v>
      </c>
      <c r="AU64" t="s">
        <v>750</v>
      </c>
      <c r="AV64">
        <v>2025</v>
      </c>
      <c r="AW64">
        <v>340</v>
      </c>
      <c r="AX64" t="s">
        <v>74</v>
      </c>
      <c r="AY64" t="s">
        <v>74</v>
      </c>
      <c r="AZ64" t="s">
        <v>74</v>
      </c>
      <c r="BA64" t="s">
        <v>74</v>
      </c>
      <c r="BB64" t="s">
        <v>74</v>
      </c>
      <c r="BC64" t="s">
        <v>74</v>
      </c>
      <c r="BD64" t="s">
        <v>74</v>
      </c>
      <c r="BE64">
        <v>139140</v>
      </c>
      <c r="BF64" t="s">
        <v>751</v>
      </c>
      <c r="BG64" t="str">
        <f>HYPERLINK("http://dx.doi.org/10.1016/j.energy.2025.139140","http://dx.doi.org/10.1016/j.energy.2025.139140")</f>
        <v>http://dx.doi.org/10.1016/j.energy.2025.139140</v>
      </c>
      <c r="BH64" t="s">
        <v>74</v>
      </c>
      <c r="BI64" t="s">
        <v>752</v>
      </c>
      <c r="BJ64" t="s">
        <v>74</v>
      </c>
      <c r="BK64" t="s">
        <v>74</v>
      </c>
      <c r="BL64" t="s">
        <v>74</v>
      </c>
      <c r="BM64" t="s">
        <v>74</v>
      </c>
      <c r="BN64" t="s">
        <v>74</v>
      </c>
      <c r="BO64" t="s">
        <v>74</v>
      </c>
      <c r="BP64" t="s">
        <v>74</v>
      </c>
      <c r="BQ64" t="s">
        <v>74</v>
      </c>
      <c r="BR64" t="s">
        <v>74</v>
      </c>
      <c r="BS64" t="s">
        <v>86</v>
      </c>
      <c r="BT64" t="s">
        <v>753</v>
      </c>
      <c r="BU64" t="str">
        <f>HYPERLINK("https%3A%2F%2Fwww.webofscience.com%2Fwos%2Fwoscc%2Ffull-record%2FWOS:001615122400005","View Full Record in Web of Science")</f>
        <v>View Full Record in Web of Science</v>
      </c>
    </row>
    <row r="65" spans="1:73" ht="187" x14ac:dyDescent="0.2">
      <c r="A65" t="s">
        <v>72</v>
      </c>
      <c r="B65" t="s">
        <v>754</v>
      </c>
      <c r="C65" t="s">
        <v>74</v>
      </c>
      <c r="D65" t="s">
        <v>74</v>
      </c>
      <c r="E65" t="s">
        <v>74</v>
      </c>
      <c r="F65" t="s">
        <v>755</v>
      </c>
      <c r="G65" t="s">
        <v>74</v>
      </c>
      <c r="H65" t="s">
        <v>74</v>
      </c>
      <c r="I65" t="s">
        <v>756</v>
      </c>
      <c r="J65" t="s">
        <v>558</v>
      </c>
      <c r="K65" t="s">
        <v>74</v>
      </c>
      <c r="L65" t="s">
        <v>74</v>
      </c>
      <c r="M65" t="s">
        <v>74</v>
      </c>
      <c r="N65" t="s">
        <v>78</v>
      </c>
      <c r="O65" t="s">
        <v>74</v>
      </c>
      <c r="P65" t="s">
        <v>74</v>
      </c>
      <c r="Q65" t="s">
        <v>74</v>
      </c>
      <c r="R65" t="s">
        <v>74</v>
      </c>
      <c r="S65" t="s">
        <v>74</v>
      </c>
      <c r="T65" t="s">
        <v>74</v>
      </c>
      <c r="U65" t="s">
        <v>74</v>
      </c>
      <c r="V65" t="b">
        <v>0</v>
      </c>
      <c r="W65" s="1" t="s">
        <v>757</v>
      </c>
      <c r="X65" t="s">
        <v>758</v>
      </c>
      <c r="Y65" t="s">
        <v>74</v>
      </c>
      <c r="Z65" t="s">
        <v>759</v>
      </c>
      <c r="AA65" t="s">
        <v>760</v>
      </c>
      <c r="AB65" t="s">
        <v>74</v>
      </c>
      <c r="AC65" t="s">
        <v>74</v>
      </c>
      <c r="AD65" t="s">
        <v>74</v>
      </c>
      <c r="AE65" t="s">
        <v>74</v>
      </c>
      <c r="AF65" t="s">
        <v>74</v>
      </c>
      <c r="AG65" t="s">
        <v>74</v>
      </c>
      <c r="AH65" t="s">
        <v>74</v>
      </c>
      <c r="AI65">
        <v>20</v>
      </c>
      <c r="AJ65">
        <v>22</v>
      </c>
      <c r="AK65" t="s">
        <v>74</v>
      </c>
      <c r="AL65" t="s">
        <v>74</v>
      </c>
      <c r="AM65" t="s">
        <v>74</v>
      </c>
      <c r="AN65" t="s">
        <v>74</v>
      </c>
      <c r="AO65" t="s">
        <v>74</v>
      </c>
      <c r="AP65" t="s">
        <v>74</v>
      </c>
      <c r="AQ65" t="s">
        <v>74</v>
      </c>
      <c r="AR65" t="s">
        <v>74</v>
      </c>
      <c r="AS65" t="s">
        <v>74</v>
      </c>
      <c r="AT65" t="s">
        <v>74</v>
      </c>
      <c r="AU65" t="s">
        <v>155</v>
      </c>
      <c r="AV65">
        <v>2020</v>
      </c>
      <c r="AW65">
        <v>13</v>
      </c>
      <c r="AX65">
        <v>17</v>
      </c>
      <c r="AY65" t="s">
        <v>74</v>
      </c>
      <c r="AZ65" t="s">
        <v>74</v>
      </c>
      <c r="BA65" t="s">
        <v>74</v>
      </c>
      <c r="BB65" t="s">
        <v>74</v>
      </c>
      <c r="BC65" t="s">
        <v>74</v>
      </c>
      <c r="BD65" t="s">
        <v>74</v>
      </c>
      <c r="BE65">
        <v>4454</v>
      </c>
      <c r="BF65" t="s">
        <v>761</v>
      </c>
      <c r="BG65" t="str">
        <f>HYPERLINK("http://dx.doi.org/10.3390/en13174454","http://dx.doi.org/10.3390/en13174454")</f>
        <v>http://dx.doi.org/10.3390/en13174454</v>
      </c>
      <c r="BH65" t="s">
        <v>74</v>
      </c>
      <c r="BI65" t="s">
        <v>74</v>
      </c>
      <c r="BJ65" t="s">
        <v>74</v>
      </c>
      <c r="BK65" t="s">
        <v>74</v>
      </c>
      <c r="BL65" t="s">
        <v>74</v>
      </c>
      <c r="BM65" t="s">
        <v>74</v>
      </c>
      <c r="BN65" t="s">
        <v>74</v>
      </c>
      <c r="BO65" t="s">
        <v>74</v>
      </c>
      <c r="BP65" t="s">
        <v>74</v>
      </c>
      <c r="BQ65" t="s">
        <v>74</v>
      </c>
      <c r="BR65" t="s">
        <v>74</v>
      </c>
      <c r="BS65" t="s">
        <v>86</v>
      </c>
      <c r="BT65" t="s">
        <v>762</v>
      </c>
      <c r="BU65" t="str">
        <f>HYPERLINK("https%3A%2F%2Fwww.webofscience.com%2Fwos%2Fwoscc%2Ffull-record%2FWOS:000569660900001","View Full Record in Web of Science")</f>
        <v>View Full Record in Web of Science</v>
      </c>
    </row>
    <row r="66" spans="1:73" ht="170" x14ac:dyDescent="0.2">
      <c r="A66" t="s">
        <v>72</v>
      </c>
      <c r="B66" t="s">
        <v>763</v>
      </c>
      <c r="C66" t="s">
        <v>74</v>
      </c>
      <c r="D66" t="s">
        <v>74</v>
      </c>
      <c r="E66" t="s">
        <v>74</v>
      </c>
      <c r="F66" t="s">
        <v>764</v>
      </c>
      <c r="G66" t="s">
        <v>74</v>
      </c>
      <c r="H66" t="s">
        <v>74</v>
      </c>
      <c r="I66" t="s">
        <v>765</v>
      </c>
      <c r="J66" t="s">
        <v>162</v>
      </c>
      <c r="K66" t="s">
        <v>74</v>
      </c>
      <c r="L66" t="s">
        <v>74</v>
      </c>
      <c r="M66" t="s">
        <v>74</v>
      </c>
      <c r="N66" t="s">
        <v>78</v>
      </c>
      <c r="O66" t="s">
        <v>74</v>
      </c>
      <c r="P66" t="s">
        <v>74</v>
      </c>
      <c r="Q66" t="s">
        <v>74</v>
      </c>
      <c r="R66" t="s">
        <v>74</v>
      </c>
      <c r="S66" t="s">
        <v>74</v>
      </c>
      <c r="T66" t="s">
        <v>74</v>
      </c>
      <c r="U66" t="s">
        <v>74</v>
      </c>
      <c r="V66" t="b">
        <v>1</v>
      </c>
      <c r="W66" s="1" t="s">
        <v>766</v>
      </c>
      <c r="X66" t="s">
        <v>767</v>
      </c>
      <c r="Y66" t="s">
        <v>74</v>
      </c>
      <c r="Z66" t="s">
        <v>768</v>
      </c>
      <c r="AA66" t="s">
        <v>769</v>
      </c>
      <c r="AB66" t="s">
        <v>74</v>
      </c>
      <c r="AC66" t="s">
        <v>74</v>
      </c>
      <c r="AD66" t="s">
        <v>74</v>
      </c>
      <c r="AE66" t="s">
        <v>74</v>
      </c>
      <c r="AF66" t="s">
        <v>74</v>
      </c>
      <c r="AG66" t="s">
        <v>74</v>
      </c>
      <c r="AH66" t="s">
        <v>74</v>
      </c>
      <c r="AI66">
        <v>71</v>
      </c>
      <c r="AJ66">
        <v>81</v>
      </c>
      <c r="AK66" t="s">
        <v>74</v>
      </c>
      <c r="AL66" t="s">
        <v>74</v>
      </c>
      <c r="AM66" t="s">
        <v>74</v>
      </c>
      <c r="AN66" t="s">
        <v>74</v>
      </c>
      <c r="AO66" t="s">
        <v>74</v>
      </c>
      <c r="AP66" t="s">
        <v>74</v>
      </c>
      <c r="AQ66" t="s">
        <v>74</v>
      </c>
      <c r="AR66" t="s">
        <v>74</v>
      </c>
      <c r="AS66" t="s">
        <v>74</v>
      </c>
      <c r="AT66" t="s">
        <v>74</v>
      </c>
      <c r="AU66" t="s">
        <v>770</v>
      </c>
      <c r="AV66">
        <v>2014</v>
      </c>
      <c r="AW66">
        <v>48</v>
      </c>
      <c r="AX66">
        <v>2</v>
      </c>
      <c r="AY66" t="s">
        <v>74</v>
      </c>
      <c r="AZ66" t="s">
        <v>74</v>
      </c>
      <c r="BA66" t="s">
        <v>74</v>
      </c>
      <c r="BB66" t="s">
        <v>74</v>
      </c>
      <c r="BC66">
        <v>1298</v>
      </c>
      <c r="BD66">
        <v>1305</v>
      </c>
      <c r="BE66" t="s">
        <v>74</v>
      </c>
      <c r="BF66" t="s">
        <v>771</v>
      </c>
      <c r="BG66" t="str">
        <f>HYPERLINK("http://dx.doi.org/10.1021/es404877u","http://dx.doi.org/10.1021/es404877u")</f>
        <v>http://dx.doi.org/10.1021/es404877u</v>
      </c>
      <c r="BH66" t="s">
        <v>74</v>
      </c>
      <c r="BI66" t="s">
        <v>74</v>
      </c>
      <c r="BJ66" t="s">
        <v>74</v>
      </c>
      <c r="BK66" t="s">
        <v>74</v>
      </c>
      <c r="BL66" t="s">
        <v>74</v>
      </c>
      <c r="BM66" t="s">
        <v>74</v>
      </c>
      <c r="BN66" t="s">
        <v>74</v>
      </c>
      <c r="BO66" t="s">
        <v>74</v>
      </c>
      <c r="BP66" t="s">
        <v>74</v>
      </c>
      <c r="BQ66" t="s">
        <v>74</v>
      </c>
      <c r="BR66" t="s">
        <v>74</v>
      </c>
      <c r="BS66" t="s">
        <v>86</v>
      </c>
      <c r="BT66" t="s">
        <v>772</v>
      </c>
      <c r="BU66" t="str">
        <f>HYPERLINK("https%3A%2F%2Fwww.webofscience.com%2Fwos%2Fwoscc%2Ffull-record%2FWOS:000330205000056","View Full Record in Web of Science")</f>
        <v>View Full Record in Web of Science</v>
      </c>
    </row>
    <row r="67" spans="1:73" ht="204" x14ac:dyDescent="0.2">
      <c r="A67" t="s">
        <v>72</v>
      </c>
      <c r="B67" t="s">
        <v>773</v>
      </c>
      <c r="C67" t="s">
        <v>74</v>
      </c>
      <c r="D67" t="s">
        <v>74</v>
      </c>
      <c r="E67" t="s">
        <v>74</v>
      </c>
      <c r="F67" t="s">
        <v>774</v>
      </c>
      <c r="G67" t="s">
        <v>74</v>
      </c>
      <c r="H67" t="s">
        <v>74</v>
      </c>
      <c r="I67" t="s">
        <v>775</v>
      </c>
      <c r="J67" t="s">
        <v>77</v>
      </c>
      <c r="K67" t="s">
        <v>74</v>
      </c>
      <c r="L67" t="s">
        <v>74</v>
      </c>
      <c r="M67" t="s">
        <v>74</v>
      </c>
      <c r="N67" t="s">
        <v>78</v>
      </c>
      <c r="O67" t="s">
        <v>74</v>
      </c>
      <c r="P67" t="s">
        <v>74</v>
      </c>
      <c r="Q67" t="s">
        <v>74</v>
      </c>
      <c r="R67" t="s">
        <v>74</v>
      </c>
      <c r="S67" t="s">
        <v>74</v>
      </c>
      <c r="T67" t="s">
        <v>74</v>
      </c>
      <c r="U67" t="s">
        <v>74</v>
      </c>
      <c r="V67" t="b">
        <v>1</v>
      </c>
      <c r="W67" s="1" t="s">
        <v>776</v>
      </c>
      <c r="X67" t="s">
        <v>777</v>
      </c>
      <c r="Y67" t="s">
        <v>74</v>
      </c>
      <c r="Z67" t="s">
        <v>778</v>
      </c>
      <c r="AA67" t="s">
        <v>779</v>
      </c>
      <c r="AB67" t="s">
        <v>74</v>
      </c>
      <c r="AC67" t="s">
        <v>74</v>
      </c>
      <c r="AD67" t="s">
        <v>74</v>
      </c>
      <c r="AE67" t="s">
        <v>74</v>
      </c>
      <c r="AF67" t="s">
        <v>74</v>
      </c>
      <c r="AG67" t="s">
        <v>74</v>
      </c>
      <c r="AH67" t="s">
        <v>74</v>
      </c>
      <c r="AI67">
        <v>0</v>
      </c>
      <c r="AJ67">
        <v>0</v>
      </c>
      <c r="AK67" t="s">
        <v>74</v>
      </c>
      <c r="AL67" t="s">
        <v>74</v>
      </c>
      <c r="AM67" t="s">
        <v>74</v>
      </c>
      <c r="AN67" t="s">
        <v>74</v>
      </c>
      <c r="AO67" t="s">
        <v>74</v>
      </c>
      <c r="AP67" t="s">
        <v>74</v>
      </c>
      <c r="AQ67" t="s">
        <v>74</v>
      </c>
      <c r="AR67" t="s">
        <v>74</v>
      </c>
      <c r="AS67" t="s">
        <v>74</v>
      </c>
      <c r="AT67" t="s">
        <v>74</v>
      </c>
      <c r="AU67" t="s">
        <v>780</v>
      </c>
      <c r="AV67">
        <v>2026</v>
      </c>
      <c r="AW67">
        <v>225</v>
      </c>
      <c r="AX67" t="s">
        <v>74</v>
      </c>
      <c r="AY67" t="s">
        <v>74</v>
      </c>
      <c r="AZ67" t="s">
        <v>74</v>
      </c>
      <c r="BA67" t="s">
        <v>74</v>
      </c>
      <c r="BB67" t="s">
        <v>74</v>
      </c>
      <c r="BC67" t="s">
        <v>74</v>
      </c>
      <c r="BD67" t="s">
        <v>74</v>
      </c>
      <c r="BE67">
        <v>108647</v>
      </c>
      <c r="BF67" t="s">
        <v>781</v>
      </c>
      <c r="BG67" t="str">
        <f>HYPERLINK("http://dx.doi.org/10.1016/j.resconrec.2025.108647","http://dx.doi.org/10.1016/j.resconrec.2025.108647")</f>
        <v>http://dx.doi.org/10.1016/j.resconrec.2025.108647</v>
      </c>
      <c r="BH67" t="s">
        <v>74</v>
      </c>
      <c r="BI67" t="s">
        <v>384</v>
      </c>
      <c r="BJ67" t="s">
        <v>74</v>
      </c>
      <c r="BK67" t="s">
        <v>74</v>
      </c>
      <c r="BL67" t="s">
        <v>74</v>
      </c>
      <c r="BM67" t="s">
        <v>74</v>
      </c>
      <c r="BN67" t="s">
        <v>74</v>
      </c>
      <c r="BO67" t="s">
        <v>74</v>
      </c>
      <c r="BP67" t="s">
        <v>74</v>
      </c>
      <c r="BQ67" t="s">
        <v>74</v>
      </c>
      <c r="BR67" t="s">
        <v>74</v>
      </c>
      <c r="BS67" t="s">
        <v>86</v>
      </c>
      <c r="BT67" t="s">
        <v>782</v>
      </c>
      <c r="BU67" t="str">
        <f>HYPERLINK("https%3A%2F%2Fwww.webofscience.com%2Fwos%2Fwoscc%2Ffull-record%2FWOS:001604764500001","View Full Record in Web of Science")</f>
        <v>View Full Record in Web of Science</v>
      </c>
    </row>
    <row r="68" spans="1:73" ht="388" x14ac:dyDescent="0.2">
      <c r="A68" t="s">
        <v>72</v>
      </c>
      <c r="B68" t="s">
        <v>783</v>
      </c>
      <c r="C68" t="s">
        <v>74</v>
      </c>
      <c r="D68" t="s">
        <v>74</v>
      </c>
      <c r="E68" t="s">
        <v>74</v>
      </c>
      <c r="F68" t="s">
        <v>784</v>
      </c>
      <c r="G68" t="s">
        <v>74</v>
      </c>
      <c r="H68" t="s">
        <v>74</v>
      </c>
      <c r="I68" t="s">
        <v>785</v>
      </c>
      <c r="J68" t="s">
        <v>786</v>
      </c>
      <c r="K68" t="s">
        <v>74</v>
      </c>
      <c r="L68" t="s">
        <v>74</v>
      </c>
      <c r="M68" t="s">
        <v>74</v>
      </c>
      <c r="N68" t="s">
        <v>452</v>
      </c>
      <c r="O68" t="s">
        <v>74</v>
      </c>
      <c r="P68" t="s">
        <v>74</v>
      </c>
      <c r="Q68" t="s">
        <v>74</v>
      </c>
      <c r="R68" t="s">
        <v>74</v>
      </c>
      <c r="S68" t="s">
        <v>74</v>
      </c>
      <c r="T68" t="s">
        <v>74</v>
      </c>
      <c r="U68" t="s">
        <v>74</v>
      </c>
      <c r="V68" t="b">
        <v>1</v>
      </c>
      <c r="W68" s="1" t="s">
        <v>787</v>
      </c>
      <c r="X68" t="s">
        <v>788</v>
      </c>
      <c r="Y68" t="s">
        <v>74</v>
      </c>
      <c r="Z68" t="s">
        <v>789</v>
      </c>
      <c r="AA68" t="s">
        <v>790</v>
      </c>
      <c r="AB68" t="s">
        <v>74</v>
      </c>
      <c r="AC68" t="s">
        <v>74</v>
      </c>
      <c r="AD68" t="s">
        <v>74</v>
      </c>
      <c r="AE68" t="s">
        <v>74</v>
      </c>
      <c r="AF68" t="s">
        <v>74</v>
      </c>
      <c r="AG68" t="s">
        <v>74</v>
      </c>
      <c r="AH68" t="s">
        <v>74</v>
      </c>
      <c r="AI68">
        <v>937</v>
      </c>
      <c r="AJ68">
        <v>1149</v>
      </c>
      <c r="AK68" t="s">
        <v>74</v>
      </c>
      <c r="AL68" t="s">
        <v>74</v>
      </c>
      <c r="AM68" t="s">
        <v>74</v>
      </c>
      <c r="AN68" t="s">
        <v>74</v>
      </c>
      <c r="AO68" t="s">
        <v>74</v>
      </c>
      <c r="AP68" t="s">
        <v>74</v>
      </c>
      <c r="AQ68" t="s">
        <v>74</v>
      </c>
      <c r="AR68" t="s">
        <v>74</v>
      </c>
      <c r="AS68" t="s">
        <v>74</v>
      </c>
      <c r="AT68" t="s">
        <v>74</v>
      </c>
      <c r="AU68" t="s">
        <v>425</v>
      </c>
      <c r="AV68">
        <v>2012</v>
      </c>
      <c r="AW68">
        <v>48</v>
      </c>
      <c r="AX68" t="s">
        <v>74</v>
      </c>
      <c r="AY68" t="s">
        <v>74</v>
      </c>
      <c r="AZ68" t="s">
        <v>74</v>
      </c>
      <c r="BA68" t="s">
        <v>74</v>
      </c>
      <c r="BB68" t="s">
        <v>74</v>
      </c>
      <c r="BC68">
        <v>55</v>
      </c>
      <c r="BD68">
        <v>69</v>
      </c>
      <c r="BE68" t="s">
        <v>74</v>
      </c>
      <c r="BF68" t="s">
        <v>791</v>
      </c>
      <c r="BG68" t="str">
        <f>HYPERLINK("http://dx.doi.org/10.1016/j.oregeorev.2012.05.006","http://dx.doi.org/10.1016/j.oregeorev.2012.05.006")</f>
        <v>http://dx.doi.org/10.1016/j.oregeorev.2012.05.006</v>
      </c>
      <c r="BH68" t="s">
        <v>74</v>
      </c>
      <c r="BI68" t="s">
        <v>74</v>
      </c>
      <c r="BJ68" t="s">
        <v>74</v>
      </c>
      <c r="BK68" t="s">
        <v>74</v>
      </c>
      <c r="BL68" t="s">
        <v>74</v>
      </c>
      <c r="BM68" t="s">
        <v>74</v>
      </c>
      <c r="BN68" t="s">
        <v>74</v>
      </c>
      <c r="BO68" t="s">
        <v>74</v>
      </c>
      <c r="BP68" t="s">
        <v>74</v>
      </c>
      <c r="BQ68" t="s">
        <v>74</v>
      </c>
      <c r="BR68" t="s">
        <v>74</v>
      </c>
      <c r="BS68" t="s">
        <v>86</v>
      </c>
      <c r="BT68" t="s">
        <v>792</v>
      </c>
      <c r="BU68" t="str">
        <f>HYPERLINK("https%3A%2F%2Fwww.webofscience.com%2Fwos%2Fwoscc%2Ffull-record%2FWOS:000310401600003","View Full Record in Web of Science")</f>
        <v>View Full Record in Web of Science</v>
      </c>
    </row>
    <row r="69" spans="1:73" ht="255" x14ac:dyDescent="0.2">
      <c r="A69" t="s">
        <v>72</v>
      </c>
      <c r="B69" t="s">
        <v>793</v>
      </c>
      <c r="C69" t="s">
        <v>74</v>
      </c>
      <c r="D69" t="s">
        <v>74</v>
      </c>
      <c r="E69" t="s">
        <v>74</v>
      </c>
      <c r="F69" t="s">
        <v>794</v>
      </c>
      <c r="G69" t="s">
        <v>74</v>
      </c>
      <c r="H69" t="s">
        <v>74</v>
      </c>
      <c r="I69" t="s">
        <v>795</v>
      </c>
      <c r="J69" t="s">
        <v>796</v>
      </c>
      <c r="K69" t="s">
        <v>74</v>
      </c>
      <c r="L69" t="s">
        <v>74</v>
      </c>
      <c r="M69" t="s">
        <v>74</v>
      </c>
      <c r="N69" t="s">
        <v>78</v>
      </c>
      <c r="O69" t="s">
        <v>74</v>
      </c>
      <c r="P69" t="s">
        <v>74</v>
      </c>
      <c r="Q69" t="s">
        <v>74</v>
      </c>
      <c r="R69" t="s">
        <v>74</v>
      </c>
      <c r="S69" t="s">
        <v>74</v>
      </c>
      <c r="T69" t="s">
        <v>74</v>
      </c>
      <c r="U69" t="s">
        <v>74</v>
      </c>
      <c r="V69" t="b">
        <v>1</v>
      </c>
      <c r="W69" s="1" t="s">
        <v>797</v>
      </c>
      <c r="X69" t="s">
        <v>798</v>
      </c>
      <c r="Y69" t="s">
        <v>74</v>
      </c>
      <c r="Z69" t="s">
        <v>799</v>
      </c>
      <c r="AA69" t="s">
        <v>800</v>
      </c>
      <c r="AB69" t="s">
        <v>74</v>
      </c>
      <c r="AC69" t="s">
        <v>74</v>
      </c>
      <c r="AD69" t="s">
        <v>74</v>
      </c>
      <c r="AE69" t="s">
        <v>74</v>
      </c>
      <c r="AF69" t="s">
        <v>74</v>
      </c>
      <c r="AG69" t="s">
        <v>74</v>
      </c>
      <c r="AH69" t="s">
        <v>74</v>
      </c>
      <c r="AI69">
        <v>22</v>
      </c>
      <c r="AJ69">
        <v>24</v>
      </c>
      <c r="AK69" t="s">
        <v>74</v>
      </c>
      <c r="AL69" t="s">
        <v>74</v>
      </c>
      <c r="AM69" t="s">
        <v>74</v>
      </c>
      <c r="AN69" t="s">
        <v>74</v>
      </c>
      <c r="AO69" t="s">
        <v>74</v>
      </c>
      <c r="AP69" t="s">
        <v>74</v>
      </c>
      <c r="AQ69" t="s">
        <v>74</v>
      </c>
      <c r="AR69" t="s">
        <v>74</v>
      </c>
      <c r="AS69" t="s">
        <v>74</v>
      </c>
      <c r="AT69" t="s">
        <v>74</v>
      </c>
      <c r="AU69" t="s">
        <v>83</v>
      </c>
      <c r="AV69">
        <v>2024</v>
      </c>
      <c r="AW69">
        <v>39</v>
      </c>
      <c r="AX69" t="s">
        <v>74</v>
      </c>
      <c r="AY69" t="s">
        <v>74</v>
      </c>
      <c r="AZ69" t="s">
        <v>74</v>
      </c>
      <c r="BA69" t="s">
        <v>74</v>
      </c>
      <c r="BB69" t="s">
        <v>74</v>
      </c>
      <c r="BC69" t="s">
        <v>74</v>
      </c>
      <c r="BD69" t="s">
        <v>74</v>
      </c>
      <c r="BE69" t="s">
        <v>801</v>
      </c>
      <c r="BF69" t="s">
        <v>802</v>
      </c>
      <c r="BG69" t="str">
        <f>HYPERLINK("http://dx.doi.org/10.1016/j.susmat.2024.e00832","http://dx.doi.org/10.1016/j.susmat.2024.e00832")</f>
        <v>http://dx.doi.org/10.1016/j.susmat.2024.e00832</v>
      </c>
      <c r="BH69" t="s">
        <v>74</v>
      </c>
      <c r="BI69" t="s">
        <v>122</v>
      </c>
      <c r="BJ69" t="s">
        <v>74</v>
      </c>
      <c r="BK69" t="s">
        <v>74</v>
      </c>
      <c r="BL69" t="s">
        <v>74</v>
      </c>
      <c r="BM69" t="s">
        <v>74</v>
      </c>
      <c r="BN69" t="s">
        <v>74</v>
      </c>
      <c r="BO69" t="s">
        <v>74</v>
      </c>
      <c r="BP69" t="s">
        <v>74</v>
      </c>
      <c r="BQ69" t="s">
        <v>74</v>
      </c>
      <c r="BR69" t="s">
        <v>74</v>
      </c>
      <c r="BS69" t="s">
        <v>86</v>
      </c>
      <c r="BT69" t="s">
        <v>803</v>
      </c>
      <c r="BU69" t="str">
        <f>HYPERLINK("https%3A%2F%2Fwww.webofscience.com%2Fwos%2Fwoscc%2Ffull-record%2FWOS:001167907100001","View Full Record in Web of Science")</f>
        <v>View Full Record in Web of Science</v>
      </c>
    </row>
    <row r="70" spans="1:73" ht="136" x14ac:dyDescent="0.2">
      <c r="A70" t="s">
        <v>72</v>
      </c>
      <c r="B70" t="s">
        <v>804</v>
      </c>
      <c r="C70" t="s">
        <v>74</v>
      </c>
      <c r="D70" t="s">
        <v>74</v>
      </c>
      <c r="E70" t="s">
        <v>74</v>
      </c>
      <c r="F70" t="s">
        <v>805</v>
      </c>
      <c r="G70" t="s">
        <v>74</v>
      </c>
      <c r="H70" t="s">
        <v>74</v>
      </c>
      <c r="I70" t="s">
        <v>806</v>
      </c>
      <c r="J70" t="s">
        <v>807</v>
      </c>
      <c r="K70" t="s">
        <v>74</v>
      </c>
      <c r="L70" t="s">
        <v>74</v>
      </c>
      <c r="M70" t="s">
        <v>74</v>
      </c>
      <c r="N70" t="s">
        <v>78</v>
      </c>
      <c r="O70" t="s">
        <v>74</v>
      </c>
      <c r="P70" t="s">
        <v>74</v>
      </c>
      <c r="Q70" t="s">
        <v>74</v>
      </c>
      <c r="R70" t="s">
        <v>74</v>
      </c>
      <c r="S70" t="s">
        <v>74</v>
      </c>
      <c r="T70" t="s">
        <v>74</v>
      </c>
      <c r="U70" t="s">
        <v>74</v>
      </c>
      <c r="V70" t="b">
        <v>0</v>
      </c>
      <c r="W70" s="1" t="s">
        <v>808</v>
      </c>
      <c r="X70" t="s">
        <v>809</v>
      </c>
      <c r="Y70" t="s">
        <v>74</v>
      </c>
      <c r="Z70" t="s">
        <v>810</v>
      </c>
      <c r="AA70" t="s">
        <v>811</v>
      </c>
      <c r="AB70" t="s">
        <v>74</v>
      </c>
      <c r="AC70" t="s">
        <v>74</v>
      </c>
      <c r="AD70" t="s">
        <v>74</v>
      </c>
      <c r="AE70" t="s">
        <v>74</v>
      </c>
      <c r="AF70" t="s">
        <v>74</v>
      </c>
      <c r="AG70" t="s">
        <v>74</v>
      </c>
      <c r="AH70" t="s">
        <v>74</v>
      </c>
      <c r="AI70">
        <v>3</v>
      </c>
      <c r="AJ70">
        <v>3</v>
      </c>
      <c r="AK70" t="s">
        <v>74</v>
      </c>
      <c r="AL70" t="s">
        <v>74</v>
      </c>
      <c r="AM70" t="s">
        <v>74</v>
      </c>
      <c r="AN70" t="s">
        <v>74</v>
      </c>
      <c r="AO70" t="s">
        <v>74</v>
      </c>
      <c r="AP70" t="s">
        <v>74</v>
      </c>
      <c r="AQ70" t="s">
        <v>74</v>
      </c>
      <c r="AR70" t="s">
        <v>74</v>
      </c>
      <c r="AS70" t="s">
        <v>74</v>
      </c>
      <c r="AT70" t="s">
        <v>74</v>
      </c>
      <c r="AU70" t="s">
        <v>120</v>
      </c>
      <c r="AV70">
        <v>2025</v>
      </c>
      <c r="AW70">
        <v>13</v>
      </c>
      <c r="AX70">
        <v>2</v>
      </c>
      <c r="AY70" t="s">
        <v>74</v>
      </c>
      <c r="AZ70" t="s">
        <v>74</v>
      </c>
      <c r="BA70" t="s">
        <v>74</v>
      </c>
      <c r="BB70" t="s">
        <v>74</v>
      </c>
      <c r="BC70" t="s">
        <v>74</v>
      </c>
      <c r="BD70" t="s">
        <v>74</v>
      </c>
      <c r="BE70">
        <v>344</v>
      </c>
      <c r="BF70" t="s">
        <v>812</v>
      </c>
      <c r="BG70" t="str">
        <f>HYPERLINK("http://dx.doi.org/10.3390/jmse13020344","http://dx.doi.org/10.3390/jmse13020344")</f>
        <v>http://dx.doi.org/10.3390/jmse13020344</v>
      </c>
      <c r="BH70" t="s">
        <v>74</v>
      </c>
      <c r="BI70" t="s">
        <v>74</v>
      </c>
      <c r="BJ70" t="s">
        <v>74</v>
      </c>
      <c r="BK70" t="s">
        <v>74</v>
      </c>
      <c r="BL70" t="s">
        <v>74</v>
      </c>
      <c r="BM70" t="s">
        <v>74</v>
      </c>
      <c r="BN70" t="s">
        <v>74</v>
      </c>
      <c r="BO70" t="s">
        <v>74</v>
      </c>
      <c r="BP70" t="s">
        <v>74</v>
      </c>
      <c r="BQ70" t="s">
        <v>74</v>
      </c>
      <c r="BR70" t="s">
        <v>74</v>
      </c>
      <c r="BS70" t="s">
        <v>86</v>
      </c>
      <c r="BT70" t="s">
        <v>813</v>
      </c>
      <c r="BU70" t="str">
        <f>HYPERLINK("https%3A%2F%2Fwww.webofscience.com%2Fwos%2Fwoscc%2Ffull-record%2FWOS:001430155800001","View Full Record in Web of Science")</f>
        <v>View Full Record in Web of Science</v>
      </c>
    </row>
    <row r="71" spans="1:73" ht="187" x14ac:dyDescent="0.2">
      <c r="A71" t="s">
        <v>72</v>
      </c>
      <c r="B71" t="s">
        <v>814</v>
      </c>
      <c r="C71" t="s">
        <v>74</v>
      </c>
      <c r="D71" t="s">
        <v>74</v>
      </c>
      <c r="E71" t="s">
        <v>74</v>
      </c>
      <c r="F71" t="s">
        <v>815</v>
      </c>
      <c r="G71" t="s">
        <v>74</v>
      </c>
      <c r="H71" t="s">
        <v>74</v>
      </c>
      <c r="I71" t="s">
        <v>816</v>
      </c>
      <c r="J71" t="s">
        <v>817</v>
      </c>
      <c r="K71" t="s">
        <v>74</v>
      </c>
      <c r="L71" t="s">
        <v>74</v>
      </c>
      <c r="M71" t="s">
        <v>74</v>
      </c>
      <c r="N71" t="s">
        <v>78</v>
      </c>
      <c r="O71" t="s">
        <v>74</v>
      </c>
      <c r="P71" t="s">
        <v>74</v>
      </c>
      <c r="Q71" t="s">
        <v>74</v>
      </c>
      <c r="R71" t="s">
        <v>74</v>
      </c>
      <c r="S71" t="s">
        <v>74</v>
      </c>
      <c r="T71" t="s">
        <v>74</v>
      </c>
      <c r="U71" t="s">
        <v>74</v>
      </c>
      <c r="V71" t="b">
        <v>0</v>
      </c>
      <c r="W71" s="1" t="s">
        <v>818</v>
      </c>
      <c r="X71" t="s">
        <v>819</v>
      </c>
      <c r="Y71" t="s">
        <v>74</v>
      </c>
      <c r="Z71" t="s">
        <v>820</v>
      </c>
      <c r="AA71" t="s">
        <v>821</v>
      </c>
      <c r="AB71" t="s">
        <v>74</v>
      </c>
      <c r="AC71" t="s">
        <v>74</v>
      </c>
      <c r="AD71" t="s">
        <v>74</v>
      </c>
      <c r="AE71" t="s">
        <v>74</v>
      </c>
      <c r="AF71" t="s">
        <v>74</v>
      </c>
      <c r="AG71" t="s">
        <v>74</v>
      </c>
      <c r="AH71" t="s">
        <v>74</v>
      </c>
      <c r="AI71">
        <v>20</v>
      </c>
      <c r="AJ71">
        <v>21</v>
      </c>
      <c r="AK71" t="s">
        <v>74</v>
      </c>
      <c r="AL71" t="s">
        <v>74</v>
      </c>
      <c r="AM71" t="s">
        <v>74</v>
      </c>
      <c r="AN71" t="s">
        <v>74</v>
      </c>
      <c r="AO71" t="s">
        <v>74</v>
      </c>
      <c r="AP71" t="s">
        <v>74</v>
      </c>
      <c r="AQ71" t="s">
        <v>74</v>
      </c>
      <c r="AR71" t="s">
        <v>74</v>
      </c>
      <c r="AS71" t="s">
        <v>74</v>
      </c>
      <c r="AT71" t="s">
        <v>74</v>
      </c>
      <c r="AU71" t="s">
        <v>108</v>
      </c>
      <c r="AV71">
        <v>2024</v>
      </c>
      <c r="AW71">
        <v>10</v>
      </c>
      <c r="AX71">
        <v>1</v>
      </c>
      <c r="AY71" t="s">
        <v>74</v>
      </c>
      <c r="AZ71" t="s">
        <v>74</v>
      </c>
      <c r="BA71" t="s">
        <v>74</v>
      </c>
      <c r="BB71" t="s">
        <v>74</v>
      </c>
      <c r="BC71" t="s">
        <v>74</v>
      </c>
      <c r="BD71" t="s">
        <v>74</v>
      </c>
      <c r="BE71">
        <v>37</v>
      </c>
      <c r="BF71" t="s">
        <v>822</v>
      </c>
      <c r="BG71" t="str">
        <f>HYPERLINK("http://dx.doi.org/10.3390/batteries10010037","http://dx.doi.org/10.3390/batteries10010037")</f>
        <v>http://dx.doi.org/10.3390/batteries10010037</v>
      </c>
      <c r="BH71" t="s">
        <v>74</v>
      </c>
      <c r="BI71" t="s">
        <v>74</v>
      </c>
      <c r="BJ71" t="s">
        <v>74</v>
      </c>
      <c r="BK71" t="s">
        <v>74</v>
      </c>
      <c r="BL71" t="s">
        <v>74</v>
      </c>
      <c r="BM71" t="s">
        <v>74</v>
      </c>
      <c r="BN71" t="s">
        <v>74</v>
      </c>
      <c r="BO71" t="s">
        <v>74</v>
      </c>
      <c r="BP71" t="s">
        <v>74</v>
      </c>
      <c r="BQ71" t="s">
        <v>74</v>
      </c>
      <c r="BR71" t="s">
        <v>74</v>
      </c>
      <c r="BS71" t="s">
        <v>86</v>
      </c>
      <c r="BT71" t="s">
        <v>823</v>
      </c>
      <c r="BU71" t="str">
        <f>HYPERLINK("https%3A%2F%2Fwww.webofscience.com%2Fwos%2Fwoscc%2Ffull-record%2FWOS:001149507100001","View Full Record in Web of Science")</f>
        <v>View Full Record in Web of Science</v>
      </c>
    </row>
    <row r="72" spans="1:73" ht="238" x14ac:dyDescent="0.2">
      <c r="A72" t="s">
        <v>72</v>
      </c>
      <c r="B72" t="s">
        <v>824</v>
      </c>
      <c r="C72" t="s">
        <v>74</v>
      </c>
      <c r="D72" t="s">
        <v>74</v>
      </c>
      <c r="E72" t="s">
        <v>74</v>
      </c>
      <c r="F72" t="s">
        <v>825</v>
      </c>
      <c r="G72" t="s">
        <v>74</v>
      </c>
      <c r="H72" t="s">
        <v>74</v>
      </c>
      <c r="I72" t="s">
        <v>826</v>
      </c>
      <c r="J72" t="s">
        <v>827</v>
      </c>
      <c r="K72" t="s">
        <v>74</v>
      </c>
      <c r="L72" t="s">
        <v>74</v>
      </c>
      <c r="M72" t="s">
        <v>74</v>
      </c>
      <c r="N72" t="s">
        <v>78</v>
      </c>
      <c r="O72" t="s">
        <v>74</v>
      </c>
      <c r="P72" t="s">
        <v>74</v>
      </c>
      <c r="Q72" t="s">
        <v>74</v>
      </c>
      <c r="R72" t="s">
        <v>74</v>
      </c>
      <c r="S72" t="s">
        <v>74</v>
      </c>
      <c r="T72" t="s">
        <v>74</v>
      </c>
      <c r="U72" t="s">
        <v>74</v>
      </c>
      <c r="V72" t="b">
        <v>0</v>
      </c>
      <c r="W72" s="1" t="s">
        <v>828</v>
      </c>
      <c r="X72" t="s">
        <v>829</v>
      </c>
      <c r="Y72" t="s">
        <v>74</v>
      </c>
      <c r="Z72" t="s">
        <v>830</v>
      </c>
      <c r="AA72" t="s">
        <v>831</v>
      </c>
      <c r="AB72" t="s">
        <v>74</v>
      </c>
      <c r="AC72" t="s">
        <v>74</v>
      </c>
      <c r="AD72" t="s">
        <v>74</v>
      </c>
      <c r="AE72" t="s">
        <v>74</v>
      </c>
      <c r="AF72" t="s">
        <v>74</v>
      </c>
      <c r="AG72" t="s">
        <v>74</v>
      </c>
      <c r="AH72" t="s">
        <v>74</v>
      </c>
      <c r="AI72">
        <v>19</v>
      </c>
      <c r="AJ72">
        <v>22</v>
      </c>
      <c r="AK72" t="s">
        <v>74</v>
      </c>
      <c r="AL72" t="s">
        <v>74</v>
      </c>
      <c r="AM72" t="s">
        <v>74</v>
      </c>
      <c r="AN72" t="s">
        <v>74</v>
      </c>
      <c r="AO72" t="s">
        <v>74</v>
      </c>
      <c r="AP72" t="s">
        <v>74</v>
      </c>
      <c r="AQ72" t="s">
        <v>74</v>
      </c>
      <c r="AR72" t="s">
        <v>74</v>
      </c>
      <c r="AS72" t="s">
        <v>74</v>
      </c>
      <c r="AT72" t="s">
        <v>74</v>
      </c>
      <c r="AU72" t="s">
        <v>120</v>
      </c>
      <c r="AV72">
        <v>2023</v>
      </c>
      <c r="AW72">
        <v>13</v>
      </c>
      <c r="AX72">
        <v>2</v>
      </c>
      <c r="AY72" t="s">
        <v>74</v>
      </c>
      <c r="AZ72" t="s">
        <v>74</v>
      </c>
      <c r="BA72" t="s">
        <v>74</v>
      </c>
      <c r="BB72" t="s">
        <v>74</v>
      </c>
      <c r="BC72" t="s">
        <v>74</v>
      </c>
      <c r="BD72" t="s">
        <v>74</v>
      </c>
      <c r="BE72">
        <v>358</v>
      </c>
      <c r="BF72" t="s">
        <v>832</v>
      </c>
      <c r="BG72" t="str">
        <f>HYPERLINK("http://dx.doi.org/10.3390/met13020358","http://dx.doi.org/10.3390/met13020358")</f>
        <v>http://dx.doi.org/10.3390/met13020358</v>
      </c>
      <c r="BH72" t="s">
        <v>74</v>
      </c>
      <c r="BI72" t="s">
        <v>74</v>
      </c>
      <c r="BJ72" t="s">
        <v>74</v>
      </c>
      <c r="BK72" t="s">
        <v>74</v>
      </c>
      <c r="BL72" t="s">
        <v>74</v>
      </c>
      <c r="BM72" t="s">
        <v>74</v>
      </c>
      <c r="BN72" t="s">
        <v>74</v>
      </c>
      <c r="BO72" t="s">
        <v>74</v>
      </c>
      <c r="BP72" t="s">
        <v>74</v>
      </c>
      <c r="BQ72" t="s">
        <v>74</v>
      </c>
      <c r="BR72" t="s">
        <v>74</v>
      </c>
      <c r="BS72" t="s">
        <v>86</v>
      </c>
      <c r="BT72" t="s">
        <v>833</v>
      </c>
      <c r="BU72" t="str">
        <f>HYPERLINK("https%3A%2F%2Fwww.webofscience.com%2Fwos%2Fwoscc%2Ffull-record%2FWOS:000941493200001","View Full Record in Web of Science")</f>
        <v>View Full Record in Web of Science</v>
      </c>
    </row>
    <row r="73" spans="1:73" ht="136" x14ac:dyDescent="0.2">
      <c r="A73" t="s">
        <v>72</v>
      </c>
      <c r="B73" t="s">
        <v>834</v>
      </c>
      <c r="C73" t="s">
        <v>74</v>
      </c>
      <c r="D73" t="s">
        <v>74</v>
      </c>
      <c r="E73" t="s">
        <v>74</v>
      </c>
      <c r="F73" t="s">
        <v>835</v>
      </c>
      <c r="G73" t="s">
        <v>74</v>
      </c>
      <c r="H73" t="s">
        <v>74</v>
      </c>
      <c r="I73" t="s">
        <v>836</v>
      </c>
      <c r="J73" t="s">
        <v>837</v>
      </c>
      <c r="K73" t="s">
        <v>74</v>
      </c>
      <c r="L73" t="s">
        <v>74</v>
      </c>
      <c r="M73" t="s">
        <v>74</v>
      </c>
      <c r="N73" t="s">
        <v>78</v>
      </c>
      <c r="O73" t="s">
        <v>74</v>
      </c>
      <c r="P73" t="s">
        <v>74</v>
      </c>
      <c r="Q73" t="s">
        <v>74</v>
      </c>
      <c r="R73" t="s">
        <v>74</v>
      </c>
      <c r="S73" t="s">
        <v>74</v>
      </c>
      <c r="T73" t="s">
        <v>74</v>
      </c>
      <c r="U73" t="s">
        <v>74</v>
      </c>
      <c r="V73" t="b">
        <v>0</v>
      </c>
      <c r="W73" s="1" t="s">
        <v>838</v>
      </c>
      <c r="X73" t="s">
        <v>839</v>
      </c>
      <c r="Y73" t="s">
        <v>74</v>
      </c>
      <c r="Z73" t="s">
        <v>840</v>
      </c>
      <c r="AA73" t="s">
        <v>841</v>
      </c>
      <c r="AB73" t="s">
        <v>74</v>
      </c>
      <c r="AC73" t="s">
        <v>74</v>
      </c>
      <c r="AD73" t="s">
        <v>74</v>
      </c>
      <c r="AE73" t="s">
        <v>74</v>
      </c>
      <c r="AF73" t="s">
        <v>74</v>
      </c>
      <c r="AG73" t="s">
        <v>74</v>
      </c>
      <c r="AH73" t="s">
        <v>74</v>
      </c>
      <c r="AI73">
        <v>0</v>
      </c>
      <c r="AJ73">
        <v>0</v>
      </c>
      <c r="AK73" t="s">
        <v>74</v>
      </c>
      <c r="AL73" t="s">
        <v>74</v>
      </c>
      <c r="AM73" t="s">
        <v>74</v>
      </c>
      <c r="AN73" t="s">
        <v>74</v>
      </c>
      <c r="AO73" t="s">
        <v>74</v>
      </c>
      <c r="AP73" t="s">
        <v>74</v>
      </c>
      <c r="AQ73" t="s">
        <v>74</v>
      </c>
      <c r="AR73" t="s">
        <v>74</v>
      </c>
      <c r="AS73" t="s">
        <v>74</v>
      </c>
      <c r="AT73" t="s">
        <v>74</v>
      </c>
      <c r="AU73" t="s">
        <v>74</v>
      </c>
      <c r="AV73">
        <v>2026</v>
      </c>
      <c r="AW73">
        <v>73</v>
      </c>
      <c r="AX73" t="s">
        <v>74</v>
      </c>
      <c r="AY73" t="s">
        <v>74</v>
      </c>
      <c r="AZ73" t="s">
        <v>74</v>
      </c>
      <c r="BA73" t="s">
        <v>74</v>
      </c>
      <c r="BB73" t="s">
        <v>74</v>
      </c>
      <c r="BC73">
        <v>1348</v>
      </c>
      <c r="BD73">
        <v>1362</v>
      </c>
      <c r="BE73" t="s">
        <v>74</v>
      </c>
      <c r="BF73" t="s">
        <v>842</v>
      </c>
      <c r="BG73" t="str">
        <f>HYPERLINK("http://dx.doi.org/10.1109/TEM.2025.3649729","http://dx.doi.org/10.1109/TEM.2025.3649729")</f>
        <v>http://dx.doi.org/10.1109/TEM.2025.3649729</v>
      </c>
      <c r="BH73" t="s">
        <v>74</v>
      </c>
      <c r="BI73" t="s">
        <v>74</v>
      </c>
      <c r="BJ73" t="s">
        <v>74</v>
      </c>
      <c r="BK73" t="s">
        <v>74</v>
      </c>
      <c r="BL73" t="s">
        <v>74</v>
      </c>
      <c r="BM73" t="s">
        <v>74</v>
      </c>
      <c r="BN73" t="s">
        <v>74</v>
      </c>
      <c r="BO73" t="s">
        <v>74</v>
      </c>
      <c r="BP73" t="s">
        <v>74</v>
      </c>
      <c r="BQ73" t="s">
        <v>74</v>
      </c>
      <c r="BR73" t="s">
        <v>74</v>
      </c>
      <c r="BS73" t="s">
        <v>86</v>
      </c>
      <c r="BT73" t="s">
        <v>843</v>
      </c>
      <c r="BU73" t="str">
        <f>HYPERLINK("https%3A%2F%2Fwww.webofscience.com%2Fwos%2Fwoscc%2Ffull-record%2FWOS:001673859500001","View Full Record in Web of Science")</f>
        <v>View Full Record in Web of Science</v>
      </c>
    </row>
    <row r="74" spans="1:73" ht="221" x14ac:dyDescent="0.2">
      <c r="A74" t="s">
        <v>72</v>
      </c>
      <c r="B74" t="s">
        <v>844</v>
      </c>
      <c r="C74" t="s">
        <v>74</v>
      </c>
      <c r="D74" t="s">
        <v>74</v>
      </c>
      <c r="E74" t="s">
        <v>74</v>
      </c>
      <c r="F74" t="s">
        <v>845</v>
      </c>
      <c r="G74" t="s">
        <v>74</v>
      </c>
      <c r="H74" t="s">
        <v>846</v>
      </c>
      <c r="I74" t="s">
        <v>847</v>
      </c>
      <c r="J74" t="s">
        <v>420</v>
      </c>
      <c r="K74" t="s">
        <v>74</v>
      </c>
      <c r="L74" t="s">
        <v>74</v>
      </c>
      <c r="M74" t="s">
        <v>74</v>
      </c>
      <c r="N74" t="s">
        <v>452</v>
      </c>
      <c r="O74" t="s">
        <v>74</v>
      </c>
      <c r="P74" t="s">
        <v>74</v>
      </c>
      <c r="Q74" t="s">
        <v>74</v>
      </c>
      <c r="R74" t="s">
        <v>74</v>
      </c>
      <c r="S74" t="s">
        <v>74</v>
      </c>
      <c r="T74" t="s">
        <v>74</v>
      </c>
      <c r="U74" t="s">
        <v>74</v>
      </c>
      <c r="V74" t="b">
        <v>0</v>
      </c>
      <c r="W74" s="1" t="s">
        <v>848</v>
      </c>
      <c r="X74" t="s">
        <v>849</v>
      </c>
      <c r="Y74" t="s">
        <v>74</v>
      </c>
      <c r="Z74" t="s">
        <v>850</v>
      </c>
      <c r="AA74" t="s">
        <v>851</v>
      </c>
      <c r="AB74" t="s">
        <v>74</v>
      </c>
      <c r="AC74" t="s">
        <v>74</v>
      </c>
      <c r="AD74" t="s">
        <v>74</v>
      </c>
      <c r="AE74" t="s">
        <v>74</v>
      </c>
      <c r="AF74" t="s">
        <v>74</v>
      </c>
      <c r="AG74" t="s">
        <v>74</v>
      </c>
      <c r="AH74" t="s">
        <v>74</v>
      </c>
      <c r="AI74">
        <v>34</v>
      </c>
      <c r="AJ74">
        <v>38</v>
      </c>
      <c r="AK74" t="s">
        <v>74</v>
      </c>
      <c r="AL74" t="s">
        <v>74</v>
      </c>
      <c r="AM74" t="s">
        <v>74</v>
      </c>
      <c r="AN74" t="s">
        <v>74</v>
      </c>
      <c r="AO74" t="s">
        <v>74</v>
      </c>
      <c r="AP74" t="s">
        <v>74</v>
      </c>
      <c r="AQ74" t="s">
        <v>74</v>
      </c>
      <c r="AR74" t="s">
        <v>74</v>
      </c>
      <c r="AS74" t="s">
        <v>74</v>
      </c>
      <c r="AT74" t="s">
        <v>74</v>
      </c>
      <c r="AU74" t="s">
        <v>425</v>
      </c>
      <c r="AV74">
        <v>2017</v>
      </c>
      <c r="AW74">
        <v>57</v>
      </c>
      <c r="AX74">
        <v>10</v>
      </c>
      <c r="AY74" t="s">
        <v>74</v>
      </c>
      <c r="AZ74" t="s">
        <v>74</v>
      </c>
      <c r="BA74" t="s">
        <v>74</v>
      </c>
      <c r="BB74" t="s">
        <v>74</v>
      </c>
      <c r="BC74" t="s">
        <v>74</v>
      </c>
      <c r="BD74" t="s">
        <v>74</v>
      </c>
      <c r="BE74">
        <v>102017</v>
      </c>
      <c r="BF74" t="s">
        <v>852</v>
      </c>
      <c r="BG74" t="str">
        <f>HYPERLINK("http://dx.doi.org/10.1088/1741-4326/aa6b0e","http://dx.doi.org/10.1088/1741-4326/aa6b0e")</f>
        <v>http://dx.doi.org/10.1088/1741-4326/aa6b0e</v>
      </c>
      <c r="BH74" t="s">
        <v>74</v>
      </c>
      <c r="BI74" t="s">
        <v>74</v>
      </c>
      <c r="BJ74" t="s">
        <v>74</v>
      </c>
      <c r="BK74" t="s">
        <v>74</v>
      </c>
      <c r="BL74" t="s">
        <v>74</v>
      </c>
      <c r="BM74" t="s">
        <v>74</v>
      </c>
      <c r="BN74" t="s">
        <v>74</v>
      </c>
      <c r="BO74" t="s">
        <v>74</v>
      </c>
      <c r="BP74" t="s">
        <v>74</v>
      </c>
      <c r="BQ74" t="s">
        <v>74</v>
      </c>
      <c r="BR74" t="s">
        <v>74</v>
      </c>
      <c r="BS74" t="s">
        <v>86</v>
      </c>
      <c r="BT74" t="s">
        <v>853</v>
      </c>
      <c r="BU74" t="str">
        <f>HYPERLINK("https%3A%2F%2Fwww.webofscience.com%2Fwos%2Fwoscc%2Ffull-record%2FWOS:000405017700001","View Full Record in Web of Science")</f>
        <v>View Full Record in Web of Science</v>
      </c>
    </row>
    <row r="75" spans="1:73" ht="221" x14ac:dyDescent="0.2">
      <c r="A75" t="s">
        <v>72</v>
      </c>
      <c r="B75" t="s">
        <v>854</v>
      </c>
      <c r="C75" t="s">
        <v>74</v>
      </c>
      <c r="D75" t="s">
        <v>74</v>
      </c>
      <c r="E75" t="s">
        <v>74</v>
      </c>
      <c r="F75" t="s">
        <v>854</v>
      </c>
      <c r="G75" t="s">
        <v>74</v>
      </c>
      <c r="H75" t="s">
        <v>74</v>
      </c>
      <c r="I75" t="s">
        <v>855</v>
      </c>
      <c r="J75" t="s">
        <v>856</v>
      </c>
      <c r="K75" t="s">
        <v>74</v>
      </c>
      <c r="L75" t="s">
        <v>74</v>
      </c>
      <c r="M75" t="s">
        <v>74</v>
      </c>
      <c r="N75" t="s">
        <v>78</v>
      </c>
      <c r="O75" t="s">
        <v>74</v>
      </c>
      <c r="P75" t="s">
        <v>74</v>
      </c>
      <c r="Q75" t="s">
        <v>74</v>
      </c>
      <c r="R75" t="s">
        <v>74</v>
      </c>
      <c r="S75" t="s">
        <v>74</v>
      </c>
      <c r="T75" t="s">
        <v>74</v>
      </c>
      <c r="U75" t="s">
        <v>74</v>
      </c>
      <c r="V75" t="b">
        <v>0</v>
      </c>
      <c r="W75" s="1" t="s">
        <v>857</v>
      </c>
      <c r="X75" t="s">
        <v>858</v>
      </c>
      <c r="Y75" t="s">
        <v>74</v>
      </c>
      <c r="Z75" t="s">
        <v>74</v>
      </c>
      <c r="AA75" t="s">
        <v>74</v>
      </c>
      <c r="AB75" t="s">
        <v>74</v>
      </c>
      <c r="AC75" t="s">
        <v>74</v>
      </c>
      <c r="AD75" t="s">
        <v>74</v>
      </c>
      <c r="AE75" t="s">
        <v>74</v>
      </c>
      <c r="AF75" t="s">
        <v>74</v>
      </c>
      <c r="AG75" t="s">
        <v>74</v>
      </c>
      <c r="AH75" t="s">
        <v>74</v>
      </c>
      <c r="AI75">
        <v>51</v>
      </c>
      <c r="AJ75">
        <v>55</v>
      </c>
      <c r="AK75" t="s">
        <v>74</v>
      </c>
      <c r="AL75" t="s">
        <v>74</v>
      </c>
      <c r="AM75" t="s">
        <v>74</v>
      </c>
      <c r="AN75" t="s">
        <v>74</v>
      </c>
      <c r="AO75" t="s">
        <v>74</v>
      </c>
      <c r="AP75" t="s">
        <v>74</v>
      </c>
      <c r="AQ75" t="s">
        <v>74</v>
      </c>
      <c r="AR75" t="s">
        <v>74</v>
      </c>
      <c r="AS75" t="s">
        <v>74</v>
      </c>
      <c r="AT75" t="s">
        <v>74</v>
      </c>
      <c r="AU75" t="s">
        <v>179</v>
      </c>
      <c r="AV75">
        <v>1994</v>
      </c>
      <c r="AW75">
        <v>46</v>
      </c>
      <c r="AX75">
        <v>6</v>
      </c>
      <c r="AY75" t="s">
        <v>74</v>
      </c>
      <c r="AZ75" t="s">
        <v>74</v>
      </c>
      <c r="BA75" t="s">
        <v>74</v>
      </c>
      <c r="BB75" t="s">
        <v>74</v>
      </c>
      <c r="BC75">
        <v>1138</v>
      </c>
      <c r="BD75">
        <v>1148</v>
      </c>
      <c r="BE75" t="s">
        <v>74</v>
      </c>
      <c r="BF75" t="s">
        <v>74</v>
      </c>
      <c r="BG75" t="s">
        <v>74</v>
      </c>
      <c r="BH75" t="s">
        <v>74</v>
      </c>
      <c r="BI75" t="s">
        <v>74</v>
      </c>
      <c r="BJ75" t="s">
        <v>74</v>
      </c>
      <c r="BK75" t="s">
        <v>74</v>
      </c>
      <c r="BL75" t="s">
        <v>74</v>
      </c>
      <c r="BM75" t="s">
        <v>74</v>
      </c>
      <c r="BN75" t="s">
        <v>74</v>
      </c>
      <c r="BO75" t="s">
        <v>74</v>
      </c>
      <c r="BP75" t="s">
        <v>74</v>
      </c>
      <c r="BQ75" t="s">
        <v>74</v>
      </c>
      <c r="BR75" t="s">
        <v>74</v>
      </c>
      <c r="BS75" t="s">
        <v>86</v>
      </c>
      <c r="BT75" t="s">
        <v>859</v>
      </c>
      <c r="BU75" t="str">
        <f>HYPERLINK("https%3A%2F%2Fwww.webofscience.com%2Fwos%2Fwoscc%2Ffull-record%2FWOS:A1994QA53300017","View Full Record in Web of Science")</f>
        <v>View Full Record in Web of Science</v>
      </c>
    </row>
    <row r="76" spans="1:73" ht="204" x14ac:dyDescent="0.2">
      <c r="A76" t="s">
        <v>72</v>
      </c>
      <c r="B76" t="s">
        <v>860</v>
      </c>
      <c r="C76" t="s">
        <v>74</v>
      </c>
      <c r="D76" t="s">
        <v>74</v>
      </c>
      <c r="E76" t="s">
        <v>74</v>
      </c>
      <c r="F76" t="s">
        <v>861</v>
      </c>
      <c r="G76" t="s">
        <v>74</v>
      </c>
      <c r="H76" t="s">
        <v>74</v>
      </c>
      <c r="I76" t="s">
        <v>862</v>
      </c>
      <c r="J76" t="s">
        <v>863</v>
      </c>
      <c r="K76" t="s">
        <v>74</v>
      </c>
      <c r="L76" t="s">
        <v>74</v>
      </c>
      <c r="M76" t="s">
        <v>74</v>
      </c>
      <c r="N76" t="s">
        <v>78</v>
      </c>
      <c r="O76" t="s">
        <v>74</v>
      </c>
      <c r="P76" t="s">
        <v>74</v>
      </c>
      <c r="Q76" t="s">
        <v>74</v>
      </c>
      <c r="R76" t="s">
        <v>74</v>
      </c>
      <c r="S76" t="s">
        <v>74</v>
      </c>
      <c r="T76" t="s">
        <v>74</v>
      </c>
      <c r="U76" t="s">
        <v>74</v>
      </c>
      <c r="V76" t="b">
        <v>0</v>
      </c>
      <c r="W76" s="1" t="s">
        <v>864</v>
      </c>
      <c r="X76" t="s">
        <v>865</v>
      </c>
      <c r="Y76" t="s">
        <v>74</v>
      </c>
      <c r="Z76" t="s">
        <v>866</v>
      </c>
      <c r="AA76" t="s">
        <v>867</v>
      </c>
      <c r="AB76" t="s">
        <v>74</v>
      </c>
      <c r="AC76" t="s">
        <v>74</v>
      </c>
      <c r="AD76" t="s">
        <v>74</v>
      </c>
      <c r="AE76" t="s">
        <v>74</v>
      </c>
      <c r="AF76" t="s">
        <v>74</v>
      </c>
      <c r="AG76" t="s">
        <v>74</v>
      </c>
      <c r="AH76" t="s">
        <v>74</v>
      </c>
      <c r="AI76">
        <v>4</v>
      </c>
      <c r="AJ76">
        <v>5</v>
      </c>
      <c r="AK76" t="s">
        <v>74</v>
      </c>
      <c r="AL76" t="s">
        <v>74</v>
      </c>
      <c r="AM76" t="s">
        <v>74</v>
      </c>
      <c r="AN76" t="s">
        <v>74</v>
      </c>
      <c r="AO76" t="s">
        <v>74</v>
      </c>
      <c r="AP76" t="s">
        <v>74</v>
      </c>
      <c r="AQ76" t="s">
        <v>74</v>
      </c>
      <c r="AR76" t="s">
        <v>74</v>
      </c>
      <c r="AS76" t="s">
        <v>74</v>
      </c>
      <c r="AT76" t="s">
        <v>74</v>
      </c>
      <c r="AU76" t="s">
        <v>868</v>
      </c>
      <c r="AV76">
        <v>2015</v>
      </c>
      <c r="AW76">
        <v>3</v>
      </c>
      <c r="AX76" t="s">
        <v>74</v>
      </c>
      <c r="AY76" t="s">
        <v>74</v>
      </c>
      <c r="AZ76" t="s">
        <v>74</v>
      </c>
      <c r="BA76" t="s">
        <v>74</v>
      </c>
      <c r="BB76" t="s">
        <v>74</v>
      </c>
      <c r="BC76" t="s">
        <v>74</v>
      </c>
      <c r="BD76" t="s">
        <v>74</v>
      </c>
      <c r="BE76">
        <v>61</v>
      </c>
      <c r="BF76" t="s">
        <v>869</v>
      </c>
      <c r="BG76" t="str">
        <f>HYPERLINK("http://dx.doi.org/10.12952/journal.elementa.000061","http://dx.doi.org/10.12952/journal.elementa.000061")</f>
        <v>http://dx.doi.org/10.12952/journal.elementa.000061</v>
      </c>
      <c r="BH76" t="s">
        <v>74</v>
      </c>
      <c r="BI76" t="s">
        <v>74</v>
      </c>
      <c r="BJ76" t="s">
        <v>74</v>
      </c>
      <c r="BK76" t="s">
        <v>74</v>
      </c>
      <c r="BL76" t="s">
        <v>74</v>
      </c>
      <c r="BM76" t="s">
        <v>74</v>
      </c>
      <c r="BN76" t="s">
        <v>74</v>
      </c>
      <c r="BO76" t="s">
        <v>74</v>
      </c>
      <c r="BP76" t="s">
        <v>74</v>
      </c>
      <c r="BQ76" t="s">
        <v>74</v>
      </c>
      <c r="BR76" t="s">
        <v>74</v>
      </c>
      <c r="BS76" t="s">
        <v>86</v>
      </c>
      <c r="BT76" t="s">
        <v>870</v>
      </c>
      <c r="BU76" t="str">
        <f>HYPERLINK("https%3A%2F%2Fwww.webofscience.com%2Fwos%2Fwoscc%2Ffull-record%2FWOS:000362115300001","View Full Record in Web of Science")</f>
        <v>View Full Record in Web of Science</v>
      </c>
    </row>
    <row r="77" spans="1:73" ht="136" x14ac:dyDescent="0.2">
      <c r="A77" t="s">
        <v>72</v>
      </c>
      <c r="B77" t="s">
        <v>871</v>
      </c>
      <c r="C77" t="s">
        <v>74</v>
      </c>
      <c r="D77" t="s">
        <v>74</v>
      </c>
      <c r="E77" t="s">
        <v>74</v>
      </c>
      <c r="F77" t="s">
        <v>872</v>
      </c>
      <c r="G77" t="s">
        <v>74</v>
      </c>
      <c r="H77" t="s">
        <v>74</v>
      </c>
      <c r="I77" t="s">
        <v>873</v>
      </c>
      <c r="J77" t="s">
        <v>874</v>
      </c>
      <c r="K77" t="s">
        <v>74</v>
      </c>
      <c r="L77" t="s">
        <v>74</v>
      </c>
      <c r="M77" t="s">
        <v>74</v>
      </c>
      <c r="N77" t="s">
        <v>452</v>
      </c>
      <c r="O77" t="s">
        <v>74</v>
      </c>
      <c r="P77" t="s">
        <v>74</v>
      </c>
      <c r="Q77" t="s">
        <v>74</v>
      </c>
      <c r="R77" t="s">
        <v>74</v>
      </c>
      <c r="S77" t="s">
        <v>74</v>
      </c>
      <c r="T77" t="s">
        <v>74</v>
      </c>
      <c r="U77" t="s">
        <v>74</v>
      </c>
      <c r="V77" t="b">
        <v>0</v>
      </c>
      <c r="W77" s="1" t="s">
        <v>875</v>
      </c>
      <c r="X77" t="s">
        <v>876</v>
      </c>
      <c r="Y77" t="s">
        <v>74</v>
      </c>
      <c r="Z77" t="s">
        <v>877</v>
      </c>
      <c r="AA77" t="s">
        <v>878</v>
      </c>
      <c r="AB77" t="s">
        <v>74</v>
      </c>
      <c r="AC77" t="s">
        <v>74</v>
      </c>
      <c r="AD77" t="s">
        <v>74</v>
      </c>
      <c r="AE77" t="s">
        <v>74</v>
      </c>
      <c r="AF77" t="s">
        <v>74</v>
      </c>
      <c r="AG77" t="s">
        <v>74</v>
      </c>
      <c r="AH77" t="s">
        <v>74</v>
      </c>
      <c r="AI77">
        <v>18</v>
      </c>
      <c r="AJ77">
        <v>21</v>
      </c>
      <c r="AK77" t="s">
        <v>74</v>
      </c>
      <c r="AL77" t="s">
        <v>74</v>
      </c>
      <c r="AM77" t="s">
        <v>74</v>
      </c>
      <c r="AN77" t="s">
        <v>74</v>
      </c>
      <c r="AO77" t="s">
        <v>74</v>
      </c>
      <c r="AP77" t="s">
        <v>74</v>
      </c>
      <c r="AQ77" t="s">
        <v>74</v>
      </c>
      <c r="AR77" t="s">
        <v>74</v>
      </c>
      <c r="AS77" t="s">
        <v>74</v>
      </c>
      <c r="AT77" t="s">
        <v>74</v>
      </c>
      <c r="AU77" t="s">
        <v>108</v>
      </c>
      <c r="AV77">
        <v>2025</v>
      </c>
      <c r="AW77">
        <v>35</v>
      </c>
      <c r="AX77">
        <v>1</v>
      </c>
      <c r="AY77" t="s">
        <v>74</v>
      </c>
      <c r="AZ77" t="s">
        <v>74</v>
      </c>
      <c r="BA77" t="s">
        <v>74</v>
      </c>
      <c r="BB77" t="s">
        <v>74</v>
      </c>
      <c r="BC77" t="s">
        <v>74</v>
      </c>
      <c r="BD77" t="s">
        <v>74</v>
      </c>
      <c r="BE77">
        <v>2409462</v>
      </c>
      <c r="BF77" t="s">
        <v>879</v>
      </c>
      <c r="BG77" t="str">
        <f>HYPERLINK("http://dx.doi.org/10.1002/adfm.202409462","http://dx.doi.org/10.1002/adfm.202409462")</f>
        <v>http://dx.doi.org/10.1002/adfm.202409462</v>
      </c>
      <c r="BH77" t="s">
        <v>74</v>
      </c>
      <c r="BI77" t="s">
        <v>553</v>
      </c>
      <c r="BJ77" t="s">
        <v>74</v>
      </c>
      <c r="BK77" t="s">
        <v>74</v>
      </c>
      <c r="BL77" t="s">
        <v>74</v>
      </c>
      <c r="BM77" t="s">
        <v>74</v>
      </c>
      <c r="BN77" t="s">
        <v>74</v>
      </c>
      <c r="BO77" t="s">
        <v>74</v>
      </c>
      <c r="BP77" t="s">
        <v>74</v>
      </c>
      <c r="BQ77" t="s">
        <v>74</v>
      </c>
      <c r="BR77" t="s">
        <v>74</v>
      </c>
      <c r="BS77" t="s">
        <v>86</v>
      </c>
      <c r="BT77" t="s">
        <v>880</v>
      </c>
      <c r="BU77" t="str">
        <f>HYPERLINK("https%3A%2F%2Fwww.webofscience.com%2Fwos%2Fwoscc%2Ffull-record%2FWOS:001357373000001","View Full Record in Web of Science")</f>
        <v>View Full Record in Web of Science</v>
      </c>
    </row>
    <row r="78" spans="1:73" ht="187" x14ac:dyDescent="0.2">
      <c r="A78" t="s">
        <v>72</v>
      </c>
      <c r="B78" t="s">
        <v>881</v>
      </c>
      <c r="C78" t="s">
        <v>74</v>
      </c>
      <c r="D78" t="s">
        <v>74</v>
      </c>
      <c r="E78" t="s">
        <v>74</v>
      </c>
      <c r="F78" t="s">
        <v>882</v>
      </c>
      <c r="G78" t="s">
        <v>74</v>
      </c>
      <c r="H78" t="s">
        <v>74</v>
      </c>
      <c r="I78" t="s">
        <v>883</v>
      </c>
      <c r="J78" t="s">
        <v>884</v>
      </c>
      <c r="K78" t="s">
        <v>74</v>
      </c>
      <c r="L78" t="s">
        <v>74</v>
      </c>
      <c r="M78" t="s">
        <v>74</v>
      </c>
      <c r="N78" t="s">
        <v>78</v>
      </c>
      <c r="O78" t="s">
        <v>74</v>
      </c>
      <c r="P78" t="s">
        <v>74</v>
      </c>
      <c r="Q78" t="s">
        <v>74</v>
      </c>
      <c r="R78" t="s">
        <v>74</v>
      </c>
      <c r="S78" t="s">
        <v>74</v>
      </c>
      <c r="T78" t="s">
        <v>74</v>
      </c>
      <c r="U78" t="s">
        <v>74</v>
      </c>
      <c r="V78" t="b">
        <v>0</v>
      </c>
      <c r="W78" s="1" t="s">
        <v>885</v>
      </c>
      <c r="X78" t="s">
        <v>886</v>
      </c>
      <c r="Y78" t="s">
        <v>74</v>
      </c>
      <c r="Z78" t="s">
        <v>887</v>
      </c>
      <c r="AA78" t="s">
        <v>888</v>
      </c>
      <c r="AB78" t="s">
        <v>74</v>
      </c>
      <c r="AC78" t="s">
        <v>74</v>
      </c>
      <c r="AD78" t="s">
        <v>74</v>
      </c>
      <c r="AE78" t="s">
        <v>74</v>
      </c>
      <c r="AF78" t="s">
        <v>74</v>
      </c>
      <c r="AG78" t="s">
        <v>74</v>
      </c>
      <c r="AH78" t="s">
        <v>74</v>
      </c>
      <c r="AI78">
        <v>0</v>
      </c>
      <c r="AJ78">
        <v>0</v>
      </c>
      <c r="AK78" t="s">
        <v>74</v>
      </c>
      <c r="AL78" t="s">
        <v>74</v>
      </c>
      <c r="AM78" t="s">
        <v>74</v>
      </c>
      <c r="AN78" t="s">
        <v>74</v>
      </c>
      <c r="AO78" t="s">
        <v>74</v>
      </c>
      <c r="AP78" t="s">
        <v>74</v>
      </c>
      <c r="AQ78" t="s">
        <v>74</v>
      </c>
      <c r="AR78" t="s">
        <v>74</v>
      </c>
      <c r="AS78" t="s">
        <v>74</v>
      </c>
      <c r="AT78" t="s">
        <v>74</v>
      </c>
      <c r="AU78" t="s">
        <v>889</v>
      </c>
      <c r="AV78">
        <v>2026</v>
      </c>
      <c r="AW78">
        <v>316</v>
      </c>
      <c r="AX78" t="s">
        <v>74</v>
      </c>
      <c r="AY78" t="s">
        <v>74</v>
      </c>
      <c r="AZ78" t="s">
        <v>74</v>
      </c>
      <c r="BA78" t="s">
        <v>74</v>
      </c>
      <c r="BB78" t="s">
        <v>74</v>
      </c>
      <c r="BC78" t="s">
        <v>74</v>
      </c>
      <c r="BD78" t="s">
        <v>74</v>
      </c>
      <c r="BE78">
        <v>104948</v>
      </c>
      <c r="BF78" t="s">
        <v>890</v>
      </c>
      <c r="BG78" t="str">
        <f>HYPERLINK("http://dx.doi.org/10.1016/j.coal.2026.104948","http://dx.doi.org/10.1016/j.coal.2026.104948")</f>
        <v>http://dx.doi.org/10.1016/j.coal.2026.104948</v>
      </c>
      <c r="BH78" t="s">
        <v>74</v>
      </c>
      <c r="BI78" t="s">
        <v>192</v>
      </c>
      <c r="BJ78" t="s">
        <v>74</v>
      </c>
      <c r="BK78" t="s">
        <v>74</v>
      </c>
      <c r="BL78" t="s">
        <v>74</v>
      </c>
      <c r="BM78" t="s">
        <v>74</v>
      </c>
      <c r="BN78" t="s">
        <v>74</v>
      </c>
      <c r="BO78" t="s">
        <v>74</v>
      </c>
      <c r="BP78" t="s">
        <v>74</v>
      </c>
      <c r="BQ78" t="s">
        <v>74</v>
      </c>
      <c r="BR78" t="s">
        <v>74</v>
      </c>
      <c r="BS78" t="s">
        <v>86</v>
      </c>
      <c r="BT78" t="s">
        <v>891</v>
      </c>
      <c r="BU78" t="str">
        <f>HYPERLINK("https%3A%2F%2Fwww.webofscience.com%2Fwos%2Fwoscc%2Ffull-record%2FWOS:001684485500001","View Full Record in Web of Science")</f>
        <v>View Full Record in Web of Science</v>
      </c>
    </row>
    <row r="79" spans="1:73" ht="170" x14ac:dyDescent="0.2">
      <c r="A79" t="s">
        <v>72</v>
      </c>
      <c r="B79" t="s">
        <v>892</v>
      </c>
      <c r="C79" t="s">
        <v>74</v>
      </c>
      <c r="D79" t="s">
        <v>74</v>
      </c>
      <c r="E79" t="s">
        <v>74</v>
      </c>
      <c r="F79" t="s">
        <v>893</v>
      </c>
      <c r="G79" t="s">
        <v>74</v>
      </c>
      <c r="H79" t="s">
        <v>74</v>
      </c>
      <c r="I79" t="s">
        <v>894</v>
      </c>
      <c r="J79" t="s">
        <v>536</v>
      </c>
      <c r="K79" t="s">
        <v>74</v>
      </c>
      <c r="L79" t="s">
        <v>74</v>
      </c>
      <c r="M79" t="s">
        <v>74</v>
      </c>
      <c r="N79" t="s">
        <v>78</v>
      </c>
      <c r="O79" t="s">
        <v>74</v>
      </c>
      <c r="P79" t="s">
        <v>74</v>
      </c>
      <c r="Q79" t="s">
        <v>74</v>
      </c>
      <c r="R79" t="s">
        <v>74</v>
      </c>
      <c r="S79" t="s">
        <v>74</v>
      </c>
      <c r="T79" t="s">
        <v>74</v>
      </c>
      <c r="U79" t="s">
        <v>74</v>
      </c>
      <c r="V79" t="b">
        <v>0</v>
      </c>
      <c r="W79" s="1" t="s">
        <v>895</v>
      </c>
      <c r="X79" t="s">
        <v>896</v>
      </c>
      <c r="Y79" t="s">
        <v>74</v>
      </c>
      <c r="Z79" t="s">
        <v>897</v>
      </c>
      <c r="AA79" t="s">
        <v>898</v>
      </c>
      <c r="AB79" t="s">
        <v>74</v>
      </c>
      <c r="AC79" t="s">
        <v>74</v>
      </c>
      <c r="AD79" t="s">
        <v>74</v>
      </c>
      <c r="AE79" t="s">
        <v>74</v>
      </c>
      <c r="AF79" t="s">
        <v>74</v>
      </c>
      <c r="AG79" t="s">
        <v>74</v>
      </c>
      <c r="AH79" t="s">
        <v>74</v>
      </c>
      <c r="AI79">
        <v>52</v>
      </c>
      <c r="AJ79">
        <v>57</v>
      </c>
      <c r="AK79" t="s">
        <v>74</v>
      </c>
      <c r="AL79" t="s">
        <v>74</v>
      </c>
      <c r="AM79" t="s">
        <v>74</v>
      </c>
      <c r="AN79" t="s">
        <v>74</v>
      </c>
      <c r="AO79" t="s">
        <v>74</v>
      </c>
      <c r="AP79" t="s">
        <v>74</v>
      </c>
      <c r="AQ79" t="s">
        <v>74</v>
      </c>
      <c r="AR79" t="s">
        <v>74</v>
      </c>
      <c r="AS79" t="s">
        <v>74</v>
      </c>
      <c r="AT79" t="s">
        <v>74</v>
      </c>
      <c r="AU79" t="s">
        <v>179</v>
      </c>
      <c r="AV79">
        <v>2021</v>
      </c>
      <c r="AW79">
        <v>82</v>
      </c>
      <c r="AX79" t="s">
        <v>74</v>
      </c>
      <c r="AY79" t="s">
        <v>74</v>
      </c>
      <c r="AZ79" t="s">
        <v>74</v>
      </c>
      <c r="BA79" t="s">
        <v>74</v>
      </c>
      <c r="BB79" t="s">
        <v>74</v>
      </c>
      <c r="BC79" t="s">
        <v>74</v>
      </c>
      <c r="BD79" t="s">
        <v>74</v>
      </c>
      <c r="BE79">
        <v>102311</v>
      </c>
      <c r="BF79" t="s">
        <v>899</v>
      </c>
      <c r="BG79" t="str">
        <f>HYPERLINK("http://dx.doi.org/10.1016/j.erss.2021.102311","http://dx.doi.org/10.1016/j.erss.2021.102311")</f>
        <v>http://dx.doi.org/10.1016/j.erss.2021.102311</v>
      </c>
      <c r="BH79" t="s">
        <v>74</v>
      </c>
      <c r="BI79" t="s">
        <v>900</v>
      </c>
      <c r="BJ79" t="s">
        <v>74</v>
      </c>
      <c r="BK79" t="s">
        <v>74</v>
      </c>
      <c r="BL79" t="s">
        <v>74</v>
      </c>
      <c r="BM79" t="s">
        <v>74</v>
      </c>
      <c r="BN79" t="s">
        <v>74</v>
      </c>
      <c r="BO79" t="s">
        <v>74</v>
      </c>
      <c r="BP79" t="s">
        <v>74</v>
      </c>
      <c r="BQ79" t="s">
        <v>74</v>
      </c>
      <c r="BR79" t="s">
        <v>74</v>
      </c>
      <c r="BS79" t="s">
        <v>86</v>
      </c>
      <c r="BT79" t="s">
        <v>901</v>
      </c>
      <c r="BU79" t="str">
        <f>HYPERLINK("https%3A%2F%2Fwww.webofscience.com%2Fwos%2Fwoscc%2Ffull-record%2FWOS:000722894900003","View Full Record in Web of Science")</f>
        <v>View Full Record in Web of Science</v>
      </c>
    </row>
    <row r="80" spans="1:73" ht="170" x14ac:dyDescent="0.2">
      <c r="A80" t="s">
        <v>72</v>
      </c>
      <c r="B80" t="s">
        <v>902</v>
      </c>
      <c r="C80" t="s">
        <v>74</v>
      </c>
      <c r="D80" t="s">
        <v>74</v>
      </c>
      <c r="E80" t="s">
        <v>74</v>
      </c>
      <c r="F80" t="s">
        <v>903</v>
      </c>
      <c r="G80" t="s">
        <v>74</v>
      </c>
      <c r="H80" t="s">
        <v>74</v>
      </c>
      <c r="I80" t="s">
        <v>904</v>
      </c>
      <c r="J80" t="s">
        <v>905</v>
      </c>
      <c r="K80" t="s">
        <v>74</v>
      </c>
      <c r="L80" t="s">
        <v>74</v>
      </c>
      <c r="M80" t="s">
        <v>74</v>
      </c>
      <c r="N80" t="s">
        <v>78</v>
      </c>
      <c r="O80" t="s">
        <v>74</v>
      </c>
      <c r="P80" t="s">
        <v>74</v>
      </c>
      <c r="Q80" t="s">
        <v>74</v>
      </c>
      <c r="R80" t="s">
        <v>74</v>
      </c>
      <c r="S80" t="s">
        <v>74</v>
      </c>
      <c r="T80" t="s">
        <v>74</v>
      </c>
      <c r="U80" t="s">
        <v>74</v>
      </c>
      <c r="V80" t="b">
        <v>0</v>
      </c>
      <c r="W80" s="1" t="s">
        <v>906</v>
      </c>
      <c r="X80" t="s">
        <v>907</v>
      </c>
      <c r="Y80" t="s">
        <v>74</v>
      </c>
      <c r="Z80" t="s">
        <v>908</v>
      </c>
      <c r="AA80" t="s">
        <v>909</v>
      </c>
      <c r="AB80" t="s">
        <v>74</v>
      </c>
      <c r="AC80" t="s">
        <v>74</v>
      </c>
      <c r="AD80" t="s">
        <v>74</v>
      </c>
      <c r="AE80" t="s">
        <v>74</v>
      </c>
      <c r="AF80" t="s">
        <v>74</v>
      </c>
      <c r="AG80" t="s">
        <v>74</v>
      </c>
      <c r="AH80" t="s">
        <v>74</v>
      </c>
      <c r="AI80">
        <v>12</v>
      </c>
      <c r="AJ80">
        <v>14</v>
      </c>
      <c r="AK80" t="s">
        <v>74</v>
      </c>
      <c r="AL80" t="s">
        <v>74</v>
      </c>
      <c r="AM80" t="s">
        <v>74</v>
      </c>
      <c r="AN80" t="s">
        <v>74</v>
      </c>
      <c r="AO80" t="s">
        <v>74</v>
      </c>
      <c r="AP80" t="s">
        <v>74</v>
      </c>
      <c r="AQ80" t="s">
        <v>74</v>
      </c>
      <c r="AR80" t="s">
        <v>74</v>
      </c>
      <c r="AS80" t="s">
        <v>74</v>
      </c>
      <c r="AT80" t="s">
        <v>74</v>
      </c>
      <c r="AU80" t="s">
        <v>179</v>
      </c>
      <c r="AV80">
        <v>2023</v>
      </c>
      <c r="AW80">
        <v>35</v>
      </c>
      <c r="AX80">
        <v>52</v>
      </c>
      <c r="AY80" t="s">
        <v>74</v>
      </c>
      <c r="AZ80" t="s">
        <v>74</v>
      </c>
      <c r="BA80" t="s">
        <v>74</v>
      </c>
      <c r="BB80" t="s">
        <v>74</v>
      </c>
      <c r="BC80" t="s">
        <v>74</v>
      </c>
      <c r="BD80" t="s">
        <v>74</v>
      </c>
      <c r="BE80" t="s">
        <v>74</v>
      </c>
      <c r="BF80" t="s">
        <v>910</v>
      </c>
      <c r="BG80" t="str">
        <f>HYPERLINK("http://dx.doi.org/10.1002/adma.202306810","http://dx.doi.org/10.1002/adma.202306810")</f>
        <v>http://dx.doi.org/10.1002/adma.202306810</v>
      </c>
      <c r="BH80" t="s">
        <v>74</v>
      </c>
      <c r="BI80" t="s">
        <v>203</v>
      </c>
      <c r="BJ80" t="s">
        <v>74</v>
      </c>
      <c r="BK80" t="s">
        <v>74</v>
      </c>
      <c r="BL80" t="s">
        <v>74</v>
      </c>
      <c r="BM80" t="s">
        <v>74</v>
      </c>
      <c r="BN80" t="s">
        <v>74</v>
      </c>
      <c r="BO80" t="s">
        <v>74</v>
      </c>
      <c r="BP80" t="s">
        <v>74</v>
      </c>
      <c r="BQ80" t="s">
        <v>74</v>
      </c>
      <c r="BR80" t="s">
        <v>74</v>
      </c>
      <c r="BS80" t="s">
        <v>86</v>
      </c>
      <c r="BT80" t="s">
        <v>911</v>
      </c>
      <c r="BU80" t="str">
        <f>HYPERLINK("https%3A%2F%2Fwww.webofscience.com%2Fwos%2Fwoscc%2Ffull-record%2FWOS:001107502000001","View Full Record in Web of Science")</f>
        <v>View Full Record in Web of Science</v>
      </c>
    </row>
    <row r="81" spans="1:73" ht="187" x14ac:dyDescent="0.2">
      <c r="A81" t="s">
        <v>72</v>
      </c>
      <c r="B81" t="s">
        <v>912</v>
      </c>
      <c r="C81" t="s">
        <v>74</v>
      </c>
      <c r="D81" t="s">
        <v>74</v>
      </c>
      <c r="E81" t="s">
        <v>74</v>
      </c>
      <c r="F81" t="s">
        <v>913</v>
      </c>
      <c r="G81" t="s">
        <v>74</v>
      </c>
      <c r="H81" t="s">
        <v>74</v>
      </c>
      <c r="I81" t="s">
        <v>914</v>
      </c>
      <c r="J81" t="s">
        <v>139</v>
      </c>
      <c r="K81" t="s">
        <v>74</v>
      </c>
      <c r="L81" t="s">
        <v>74</v>
      </c>
      <c r="M81" t="s">
        <v>74</v>
      </c>
      <c r="N81" t="s">
        <v>78</v>
      </c>
      <c r="O81" t="s">
        <v>74</v>
      </c>
      <c r="P81" t="s">
        <v>74</v>
      </c>
      <c r="Q81" t="s">
        <v>74</v>
      </c>
      <c r="R81" t="s">
        <v>74</v>
      </c>
      <c r="S81" t="s">
        <v>74</v>
      </c>
      <c r="T81" t="s">
        <v>74</v>
      </c>
      <c r="U81" t="s">
        <v>74</v>
      </c>
      <c r="V81" t="b">
        <v>0</v>
      </c>
      <c r="W81" s="1" t="s">
        <v>915</v>
      </c>
      <c r="X81" t="s">
        <v>916</v>
      </c>
      <c r="Y81" t="s">
        <v>74</v>
      </c>
      <c r="Z81" t="s">
        <v>917</v>
      </c>
      <c r="AA81" t="s">
        <v>918</v>
      </c>
      <c r="AB81" t="s">
        <v>74</v>
      </c>
      <c r="AC81" t="s">
        <v>74</v>
      </c>
      <c r="AD81" t="s">
        <v>74</v>
      </c>
      <c r="AE81" t="s">
        <v>74</v>
      </c>
      <c r="AF81" t="s">
        <v>74</v>
      </c>
      <c r="AG81" t="s">
        <v>74</v>
      </c>
      <c r="AH81" t="s">
        <v>74</v>
      </c>
      <c r="AI81">
        <v>6</v>
      </c>
      <c r="AJ81">
        <v>8</v>
      </c>
      <c r="AK81" t="s">
        <v>74</v>
      </c>
      <c r="AL81" t="s">
        <v>74</v>
      </c>
      <c r="AM81" t="s">
        <v>74</v>
      </c>
      <c r="AN81" t="s">
        <v>74</v>
      </c>
      <c r="AO81" t="s">
        <v>74</v>
      </c>
      <c r="AP81" t="s">
        <v>74</v>
      </c>
      <c r="AQ81" t="s">
        <v>74</v>
      </c>
      <c r="AR81" t="s">
        <v>74</v>
      </c>
      <c r="AS81" t="s">
        <v>74</v>
      </c>
      <c r="AT81" t="s">
        <v>74</v>
      </c>
      <c r="AU81" t="s">
        <v>919</v>
      </c>
      <c r="AV81">
        <v>2022</v>
      </c>
      <c r="AW81">
        <v>380</v>
      </c>
      <c r="AX81" t="s">
        <v>74</v>
      </c>
      <c r="AY81">
        <v>1</v>
      </c>
      <c r="AZ81" t="s">
        <v>74</v>
      </c>
      <c r="BA81" t="s">
        <v>74</v>
      </c>
      <c r="BB81" t="s">
        <v>74</v>
      </c>
      <c r="BC81" t="s">
        <v>74</v>
      </c>
      <c r="BD81" t="s">
        <v>74</v>
      </c>
      <c r="BE81">
        <v>135051</v>
      </c>
      <c r="BF81" t="s">
        <v>920</v>
      </c>
      <c r="BG81" t="str">
        <f>HYPERLINK("http://dx.doi.org/10.1016/j.jclepro.2022.135051","http://dx.doi.org/10.1016/j.jclepro.2022.135051")</f>
        <v>http://dx.doi.org/10.1016/j.jclepro.2022.135051</v>
      </c>
      <c r="BH81" t="s">
        <v>74</v>
      </c>
      <c r="BI81" t="s">
        <v>921</v>
      </c>
      <c r="BJ81" t="s">
        <v>74</v>
      </c>
      <c r="BK81" t="s">
        <v>74</v>
      </c>
      <c r="BL81" t="s">
        <v>74</v>
      </c>
      <c r="BM81" t="s">
        <v>74</v>
      </c>
      <c r="BN81" t="s">
        <v>74</v>
      </c>
      <c r="BO81" t="s">
        <v>74</v>
      </c>
      <c r="BP81" t="s">
        <v>74</v>
      </c>
      <c r="BQ81" t="s">
        <v>74</v>
      </c>
      <c r="BR81" t="s">
        <v>74</v>
      </c>
      <c r="BS81" t="s">
        <v>86</v>
      </c>
      <c r="BT81" t="s">
        <v>922</v>
      </c>
      <c r="BU81" t="str">
        <f>HYPERLINK("https%3A%2F%2Fwww.webofscience.com%2Fwos%2Fwoscc%2Ffull-record%2FWOS:000892628100004","View Full Record in Web of Science")</f>
        <v>View Full Record in Web of Science</v>
      </c>
    </row>
    <row r="82" spans="1:73" ht="170" x14ac:dyDescent="0.2">
      <c r="A82" t="s">
        <v>72</v>
      </c>
      <c r="B82" t="s">
        <v>923</v>
      </c>
      <c r="C82" t="s">
        <v>74</v>
      </c>
      <c r="D82" t="s">
        <v>74</v>
      </c>
      <c r="E82" t="s">
        <v>74</v>
      </c>
      <c r="F82" t="s">
        <v>924</v>
      </c>
      <c r="G82" t="s">
        <v>74</v>
      </c>
      <c r="H82" t="s">
        <v>74</v>
      </c>
      <c r="I82" t="s">
        <v>925</v>
      </c>
      <c r="J82" t="s">
        <v>77</v>
      </c>
      <c r="K82" t="s">
        <v>74</v>
      </c>
      <c r="L82" t="s">
        <v>74</v>
      </c>
      <c r="M82" t="s">
        <v>74</v>
      </c>
      <c r="N82" t="s">
        <v>78</v>
      </c>
      <c r="O82" t="s">
        <v>74</v>
      </c>
      <c r="P82" t="s">
        <v>74</v>
      </c>
      <c r="Q82" t="s">
        <v>74</v>
      </c>
      <c r="R82" t="s">
        <v>74</v>
      </c>
      <c r="S82" t="s">
        <v>74</v>
      </c>
      <c r="T82" t="s">
        <v>74</v>
      </c>
      <c r="U82" t="s">
        <v>74</v>
      </c>
      <c r="V82" t="b">
        <v>1</v>
      </c>
      <c r="W82" s="1" t="s">
        <v>926</v>
      </c>
      <c r="X82" t="s">
        <v>927</v>
      </c>
      <c r="Y82" t="s">
        <v>74</v>
      </c>
      <c r="Z82" t="s">
        <v>928</v>
      </c>
      <c r="AA82" t="s">
        <v>929</v>
      </c>
      <c r="AB82" t="s">
        <v>74</v>
      </c>
      <c r="AC82" t="s">
        <v>74</v>
      </c>
      <c r="AD82" t="s">
        <v>74</v>
      </c>
      <c r="AE82" t="s">
        <v>74</v>
      </c>
      <c r="AF82" t="s">
        <v>74</v>
      </c>
      <c r="AG82" t="s">
        <v>74</v>
      </c>
      <c r="AH82" t="s">
        <v>74</v>
      </c>
      <c r="AI82">
        <v>184</v>
      </c>
      <c r="AJ82">
        <v>203</v>
      </c>
      <c r="AK82" t="s">
        <v>74</v>
      </c>
      <c r="AL82" t="s">
        <v>74</v>
      </c>
      <c r="AM82" t="s">
        <v>74</v>
      </c>
      <c r="AN82" t="s">
        <v>74</v>
      </c>
      <c r="AO82" t="s">
        <v>74</v>
      </c>
      <c r="AP82" t="s">
        <v>74</v>
      </c>
      <c r="AQ82" t="s">
        <v>74</v>
      </c>
      <c r="AR82" t="s">
        <v>74</v>
      </c>
      <c r="AS82" t="s">
        <v>74</v>
      </c>
      <c r="AT82" t="s">
        <v>74</v>
      </c>
      <c r="AU82" t="s">
        <v>120</v>
      </c>
      <c r="AV82">
        <v>2018</v>
      </c>
      <c r="AW82">
        <v>129</v>
      </c>
      <c r="AX82" t="s">
        <v>74</v>
      </c>
      <c r="AY82" t="s">
        <v>74</v>
      </c>
      <c r="AZ82" t="s">
        <v>74</v>
      </c>
      <c r="BA82" t="s">
        <v>74</v>
      </c>
      <c r="BB82" t="s">
        <v>74</v>
      </c>
      <c r="BC82">
        <v>202</v>
      </c>
      <c r="BD82">
        <v>208</v>
      </c>
      <c r="BE82" t="s">
        <v>74</v>
      </c>
      <c r="BF82" t="s">
        <v>930</v>
      </c>
      <c r="BG82" t="str">
        <f>HYPERLINK("http://dx.doi.org/10.1016/j.resconrec.2017.10.040","http://dx.doi.org/10.1016/j.resconrec.2017.10.040")</f>
        <v>http://dx.doi.org/10.1016/j.resconrec.2017.10.040</v>
      </c>
      <c r="BH82" t="s">
        <v>74</v>
      </c>
      <c r="BI82" t="s">
        <v>74</v>
      </c>
      <c r="BJ82" t="s">
        <v>74</v>
      </c>
      <c r="BK82" t="s">
        <v>74</v>
      </c>
      <c r="BL82" t="s">
        <v>74</v>
      </c>
      <c r="BM82" t="s">
        <v>74</v>
      </c>
      <c r="BN82" t="s">
        <v>74</v>
      </c>
      <c r="BO82" t="s">
        <v>74</v>
      </c>
      <c r="BP82" t="s">
        <v>74</v>
      </c>
      <c r="BQ82" t="s">
        <v>74</v>
      </c>
      <c r="BR82" t="s">
        <v>74</v>
      </c>
      <c r="BS82" t="s">
        <v>86</v>
      </c>
      <c r="BT82" t="s">
        <v>931</v>
      </c>
      <c r="BU82" t="str">
        <f>HYPERLINK("https%3A%2F%2Fwww.webofscience.com%2Fwos%2Fwoscc%2Ffull-record%2FWOS:000419417300021","View Full Record in Web of Science")</f>
        <v>View Full Record in Web of Science</v>
      </c>
    </row>
    <row r="83" spans="1:73" ht="153" x14ac:dyDescent="0.2">
      <c r="A83" t="s">
        <v>72</v>
      </c>
      <c r="B83" t="s">
        <v>932</v>
      </c>
      <c r="C83" t="s">
        <v>74</v>
      </c>
      <c r="D83" t="s">
        <v>74</v>
      </c>
      <c r="E83" t="s">
        <v>74</v>
      </c>
      <c r="F83" t="s">
        <v>933</v>
      </c>
      <c r="G83" t="s">
        <v>74</v>
      </c>
      <c r="H83" t="s">
        <v>74</v>
      </c>
      <c r="I83" t="s">
        <v>934</v>
      </c>
      <c r="J83" t="s">
        <v>935</v>
      </c>
      <c r="K83" t="s">
        <v>74</v>
      </c>
      <c r="L83" t="s">
        <v>74</v>
      </c>
      <c r="M83" t="s">
        <v>74</v>
      </c>
      <c r="N83" t="s">
        <v>78</v>
      </c>
      <c r="O83" t="s">
        <v>74</v>
      </c>
      <c r="P83" t="s">
        <v>74</v>
      </c>
      <c r="Q83" t="s">
        <v>74</v>
      </c>
      <c r="R83" t="s">
        <v>74</v>
      </c>
      <c r="S83" t="s">
        <v>74</v>
      </c>
      <c r="T83" t="s">
        <v>74</v>
      </c>
      <c r="U83" t="s">
        <v>74</v>
      </c>
      <c r="V83" t="b">
        <v>0</v>
      </c>
      <c r="W83" s="1" t="s">
        <v>936</v>
      </c>
      <c r="X83" t="s">
        <v>937</v>
      </c>
      <c r="Y83" t="s">
        <v>74</v>
      </c>
      <c r="Z83" t="s">
        <v>938</v>
      </c>
      <c r="AA83" t="s">
        <v>939</v>
      </c>
      <c r="AB83" t="s">
        <v>74</v>
      </c>
      <c r="AC83" t="s">
        <v>74</v>
      </c>
      <c r="AD83" t="s">
        <v>74</v>
      </c>
      <c r="AE83" t="s">
        <v>74</v>
      </c>
      <c r="AF83" t="s">
        <v>74</v>
      </c>
      <c r="AG83" t="s">
        <v>74</v>
      </c>
      <c r="AH83" t="s">
        <v>74</v>
      </c>
      <c r="AI83">
        <v>74</v>
      </c>
      <c r="AJ83">
        <v>81</v>
      </c>
      <c r="AK83" t="s">
        <v>74</v>
      </c>
      <c r="AL83" t="s">
        <v>74</v>
      </c>
      <c r="AM83" t="s">
        <v>74</v>
      </c>
      <c r="AN83" t="s">
        <v>74</v>
      </c>
      <c r="AO83" t="s">
        <v>74</v>
      </c>
      <c r="AP83" t="s">
        <v>74</v>
      </c>
      <c r="AQ83" t="s">
        <v>74</v>
      </c>
      <c r="AR83" t="s">
        <v>74</v>
      </c>
      <c r="AS83" t="s">
        <v>74</v>
      </c>
      <c r="AT83" t="s">
        <v>74</v>
      </c>
      <c r="AU83" t="s">
        <v>780</v>
      </c>
      <c r="AV83">
        <v>2016</v>
      </c>
      <c r="AW83">
        <v>108</v>
      </c>
      <c r="AX83" t="s">
        <v>74</v>
      </c>
      <c r="AY83" t="s">
        <v>74</v>
      </c>
      <c r="AZ83" t="s">
        <v>74</v>
      </c>
      <c r="BA83" t="s">
        <v>74</v>
      </c>
      <c r="BB83" t="s">
        <v>74</v>
      </c>
      <c r="BC83">
        <v>30</v>
      </c>
      <c r="BD83">
        <v>42</v>
      </c>
      <c r="BE83" t="s">
        <v>74</v>
      </c>
      <c r="BF83" t="s">
        <v>940</v>
      </c>
      <c r="BG83" t="str">
        <f>HYPERLINK("http://dx.doi.org/10.1016/j.enconman.2015.11.009","http://dx.doi.org/10.1016/j.enconman.2015.11.009")</f>
        <v>http://dx.doi.org/10.1016/j.enconman.2015.11.009</v>
      </c>
      <c r="BH83" t="s">
        <v>74</v>
      </c>
      <c r="BI83" t="s">
        <v>74</v>
      </c>
      <c r="BJ83" t="s">
        <v>74</v>
      </c>
      <c r="BK83" t="s">
        <v>74</v>
      </c>
      <c r="BL83" t="s">
        <v>74</v>
      </c>
      <c r="BM83" t="s">
        <v>74</v>
      </c>
      <c r="BN83" t="s">
        <v>74</v>
      </c>
      <c r="BO83" t="s">
        <v>74</v>
      </c>
      <c r="BP83" t="s">
        <v>74</v>
      </c>
      <c r="BQ83" t="s">
        <v>74</v>
      </c>
      <c r="BR83" t="s">
        <v>74</v>
      </c>
      <c r="BS83" t="s">
        <v>86</v>
      </c>
      <c r="BT83" t="s">
        <v>941</v>
      </c>
      <c r="BU83" t="str">
        <f>HYPERLINK("https%3A%2F%2Fwww.webofscience.com%2Fwos%2Fwoscc%2Ffull-record%2FWOS:000369191300004","View Full Record in Web of Science")</f>
        <v>View Full Record in Web of Science</v>
      </c>
    </row>
    <row r="84" spans="1:73" ht="204" x14ac:dyDescent="0.2">
      <c r="A84" t="s">
        <v>72</v>
      </c>
      <c r="B84" t="s">
        <v>942</v>
      </c>
      <c r="C84" t="s">
        <v>74</v>
      </c>
      <c r="D84" t="s">
        <v>74</v>
      </c>
      <c r="E84" t="s">
        <v>74</v>
      </c>
      <c r="F84" t="s">
        <v>943</v>
      </c>
      <c r="G84" t="s">
        <v>74</v>
      </c>
      <c r="H84" t="s">
        <v>74</v>
      </c>
      <c r="I84" t="s">
        <v>944</v>
      </c>
      <c r="J84" t="s">
        <v>945</v>
      </c>
      <c r="K84" t="s">
        <v>74</v>
      </c>
      <c r="L84" t="s">
        <v>74</v>
      </c>
      <c r="M84" t="s">
        <v>74</v>
      </c>
      <c r="N84" t="s">
        <v>78</v>
      </c>
      <c r="O84" t="s">
        <v>74</v>
      </c>
      <c r="P84" t="s">
        <v>74</v>
      </c>
      <c r="Q84" t="s">
        <v>74</v>
      </c>
      <c r="R84" t="s">
        <v>74</v>
      </c>
      <c r="S84" t="s">
        <v>74</v>
      </c>
      <c r="T84" t="s">
        <v>74</v>
      </c>
      <c r="U84" t="s">
        <v>74</v>
      </c>
      <c r="V84" t="b">
        <v>1</v>
      </c>
      <c r="W84" s="1" t="s">
        <v>946</v>
      </c>
      <c r="X84" t="s">
        <v>947</v>
      </c>
      <c r="Y84" t="s">
        <v>74</v>
      </c>
      <c r="Z84" t="s">
        <v>948</v>
      </c>
      <c r="AA84" t="s">
        <v>949</v>
      </c>
      <c r="AB84" t="s">
        <v>74</v>
      </c>
      <c r="AC84" t="s">
        <v>74</v>
      </c>
      <c r="AD84" t="s">
        <v>74</v>
      </c>
      <c r="AE84" t="s">
        <v>74</v>
      </c>
      <c r="AF84" t="s">
        <v>74</v>
      </c>
      <c r="AG84" t="s">
        <v>74</v>
      </c>
      <c r="AH84" t="s">
        <v>74</v>
      </c>
      <c r="AI84">
        <v>0</v>
      </c>
      <c r="AJ84">
        <v>1</v>
      </c>
      <c r="AK84" t="s">
        <v>74</v>
      </c>
      <c r="AL84" t="s">
        <v>74</v>
      </c>
      <c r="AM84" t="s">
        <v>74</v>
      </c>
      <c r="AN84" t="s">
        <v>74</v>
      </c>
      <c r="AO84" t="s">
        <v>74</v>
      </c>
      <c r="AP84" t="s">
        <v>74</v>
      </c>
      <c r="AQ84" t="s">
        <v>74</v>
      </c>
      <c r="AR84" t="s">
        <v>74</v>
      </c>
      <c r="AS84" t="s">
        <v>74</v>
      </c>
      <c r="AT84" t="s">
        <v>74</v>
      </c>
      <c r="AU84" t="s">
        <v>950</v>
      </c>
      <c r="AV84">
        <v>2024</v>
      </c>
      <c r="AW84">
        <v>42</v>
      </c>
      <c r="AX84">
        <v>4</v>
      </c>
      <c r="AY84" t="s">
        <v>74</v>
      </c>
      <c r="AZ84" t="s">
        <v>74</v>
      </c>
      <c r="BA84" t="s">
        <v>74</v>
      </c>
      <c r="BB84" t="s">
        <v>74</v>
      </c>
      <c r="BC84">
        <v>511</v>
      </c>
      <c r="BD84">
        <v>591</v>
      </c>
      <c r="BE84" t="s">
        <v>74</v>
      </c>
      <c r="BF84" t="s">
        <v>951</v>
      </c>
      <c r="BG84" t="str">
        <f>HYPERLINK("http://dx.doi.org/10.1080/02646811.2024.2399409","http://dx.doi.org/10.1080/02646811.2024.2399409")</f>
        <v>http://dx.doi.org/10.1080/02646811.2024.2399409</v>
      </c>
      <c r="BH84" t="s">
        <v>74</v>
      </c>
      <c r="BI84" t="s">
        <v>213</v>
      </c>
      <c r="BJ84" t="s">
        <v>74</v>
      </c>
      <c r="BK84" t="s">
        <v>74</v>
      </c>
      <c r="BL84" t="s">
        <v>74</v>
      </c>
      <c r="BM84" t="s">
        <v>74</v>
      </c>
      <c r="BN84" t="s">
        <v>74</v>
      </c>
      <c r="BO84" t="s">
        <v>74</v>
      </c>
      <c r="BP84" t="s">
        <v>74</v>
      </c>
      <c r="BQ84" t="s">
        <v>74</v>
      </c>
      <c r="BR84" t="s">
        <v>74</v>
      </c>
      <c r="BS84" t="s">
        <v>86</v>
      </c>
      <c r="BT84" t="s">
        <v>952</v>
      </c>
      <c r="BU84" t="str">
        <f>HYPERLINK("https%3A%2F%2Fwww.webofscience.com%2Fwos%2Fwoscc%2Ffull-record%2FWOS:001325326500001","View Full Record in Web of Science")</f>
        <v>View Full Record in Web of Science</v>
      </c>
    </row>
    <row r="85" spans="1:73" ht="221" x14ac:dyDescent="0.2">
      <c r="A85" t="s">
        <v>72</v>
      </c>
      <c r="B85" t="s">
        <v>953</v>
      </c>
      <c r="C85" t="s">
        <v>74</v>
      </c>
      <c r="D85" t="s">
        <v>74</v>
      </c>
      <c r="E85" t="s">
        <v>74</v>
      </c>
      <c r="F85" t="s">
        <v>954</v>
      </c>
      <c r="G85" t="s">
        <v>74</v>
      </c>
      <c r="H85" t="s">
        <v>74</v>
      </c>
      <c r="I85" t="s">
        <v>955</v>
      </c>
      <c r="J85" t="s">
        <v>956</v>
      </c>
      <c r="K85" t="s">
        <v>74</v>
      </c>
      <c r="L85" t="s">
        <v>74</v>
      </c>
      <c r="M85" t="s">
        <v>74</v>
      </c>
      <c r="N85" t="s">
        <v>78</v>
      </c>
      <c r="O85" t="s">
        <v>74</v>
      </c>
      <c r="P85" t="s">
        <v>74</v>
      </c>
      <c r="Q85" t="s">
        <v>74</v>
      </c>
      <c r="R85" t="s">
        <v>74</v>
      </c>
      <c r="S85" t="s">
        <v>74</v>
      </c>
      <c r="T85" t="s">
        <v>74</v>
      </c>
      <c r="U85" t="s">
        <v>74</v>
      </c>
      <c r="V85" t="b">
        <v>0</v>
      </c>
      <c r="W85" s="1" t="s">
        <v>957</v>
      </c>
      <c r="X85" t="s">
        <v>958</v>
      </c>
      <c r="Y85" t="s">
        <v>74</v>
      </c>
      <c r="Z85" t="s">
        <v>959</v>
      </c>
      <c r="AA85" t="s">
        <v>960</v>
      </c>
      <c r="AB85" t="s">
        <v>74</v>
      </c>
      <c r="AC85" t="s">
        <v>74</v>
      </c>
      <c r="AD85" t="s">
        <v>74</v>
      </c>
      <c r="AE85" t="s">
        <v>74</v>
      </c>
      <c r="AF85" t="s">
        <v>74</v>
      </c>
      <c r="AG85" t="s">
        <v>74</v>
      </c>
      <c r="AH85" t="s">
        <v>74</v>
      </c>
      <c r="AI85">
        <v>1</v>
      </c>
      <c r="AJ85">
        <v>1</v>
      </c>
      <c r="AK85" t="s">
        <v>74</v>
      </c>
      <c r="AL85" t="s">
        <v>74</v>
      </c>
      <c r="AM85" t="s">
        <v>74</v>
      </c>
      <c r="AN85" t="s">
        <v>74</v>
      </c>
      <c r="AO85" t="s">
        <v>74</v>
      </c>
      <c r="AP85" t="s">
        <v>74</v>
      </c>
      <c r="AQ85" t="s">
        <v>74</v>
      </c>
      <c r="AR85" t="s">
        <v>74</v>
      </c>
      <c r="AS85" t="s">
        <v>74</v>
      </c>
      <c r="AT85" t="s">
        <v>74</v>
      </c>
      <c r="AU85" t="s">
        <v>961</v>
      </c>
      <c r="AV85">
        <v>2025</v>
      </c>
      <c r="AW85">
        <v>41</v>
      </c>
      <c r="AX85">
        <v>43</v>
      </c>
      <c r="AY85" t="s">
        <v>74</v>
      </c>
      <c r="AZ85" t="s">
        <v>74</v>
      </c>
      <c r="BA85" t="s">
        <v>74</v>
      </c>
      <c r="BB85" t="s">
        <v>74</v>
      </c>
      <c r="BC85">
        <v>28934</v>
      </c>
      <c r="BD85">
        <v>28947</v>
      </c>
      <c r="BE85" t="s">
        <v>74</v>
      </c>
      <c r="BF85" t="s">
        <v>962</v>
      </c>
      <c r="BG85" t="str">
        <f>HYPERLINK("http://dx.doi.org/10.1021/acs.langmuir.5c01735","http://dx.doi.org/10.1021/acs.langmuir.5c01735")</f>
        <v>http://dx.doi.org/10.1021/acs.langmuir.5c01735</v>
      </c>
      <c r="BH85" t="s">
        <v>74</v>
      </c>
      <c r="BI85" t="s">
        <v>384</v>
      </c>
      <c r="BJ85" t="s">
        <v>74</v>
      </c>
      <c r="BK85" t="s">
        <v>74</v>
      </c>
      <c r="BL85" t="s">
        <v>74</v>
      </c>
      <c r="BM85" t="s">
        <v>74</v>
      </c>
      <c r="BN85" t="s">
        <v>74</v>
      </c>
      <c r="BO85" t="s">
        <v>74</v>
      </c>
      <c r="BP85" t="s">
        <v>74</v>
      </c>
      <c r="BQ85" t="s">
        <v>74</v>
      </c>
      <c r="BR85" t="s">
        <v>74</v>
      </c>
      <c r="BS85" t="s">
        <v>86</v>
      </c>
      <c r="BT85" t="s">
        <v>963</v>
      </c>
      <c r="BU85" t="str">
        <f>HYPERLINK("https%3A%2F%2Fwww.webofscience.com%2Fwos%2Fwoscc%2Ffull-record%2FWOS:001600355200001","View Full Record in Web of Science")</f>
        <v>View Full Record in Web of Science</v>
      </c>
    </row>
    <row r="86" spans="1:73" ht="255" x14ac:dyDescent="0.2">
      <c r="A86" t="s">
        <v>72</v>
      </c>
      <c r="B86" t="s">
        <v>964</v>
      </c>
      <c r="C86" t="s">
        <v>74</v>
      </c>
      <c r="D86" t="s">
        <v>74</v>
      </c>
      <c r="E86" t="s">
        <v>74</v>
      </c>
      <c r="F86" t="s">
        <v>965</v>
      </c>
      <c r="G86" t="s">
        <v>74</v>
      </c>
      <c r="H86" t="s">
        <v>74</v>
      </c>
      <c r="I86" t="s">
        <v>966</v>
      </c>
      <c r="J86" t="s">
        <v>431</v>
      </c>
      <c r="K86" t="s">
        <v>74</v>
      </c>
      <c r="L86" t="s">
        <v>74</v>
      </c>
      <c r="M86" t="s">
        <v>74</v>
      </c>
      <c r="N86" t="s">
        <v>78</v>
      </c>
      <c r="O86" t="s">
        <v>74</v>
      </c>
      <c r="P86" t="s">
        <v>74</v>
      </c>
      <c r="Q86" t="s">
        <v>74</v>
      </c>
      <c r="R86" t="s">
        <v>74</v>
      </c>
      <c r="S86" t="s">
        <v>74</v>
      </c>
      <c r="T86" t="s">
        <v>74</v>
      </c>
      <c r="U86" t="s">
        <v>74</v>
      </c>
      <c r="V86" t="b">
        <v>0</v>
      </c>
      <c r="W86" s="1" t="s">
        <v>967</v>
      </c>
      <c r="X86" t="s">
        <v>968</v>
      </c>
      <c r="Y86" t="s">
        <v>74</v>
      </c>
      <c r="Z86" t="s">
        <v>969</v>
      </c>
      <c r="AA86" t="s">
        <v>970</v>
      </c>
      <c r="AB86" t="s">
        <v>74</v>
      </c>
      <c r="AC86" t="s">
        <v>74</v>
      </c>
      <c r="AD86" t="s">
        <v>74</v>
      </c>
      <c r="AE86" t="s">
        <v>74</v>
      </c>
      <c r="AF86" t="s">
        <v>74</v>
      </c>
      <c r="AG86" t="s">
        <v>74</v>
      </c>
      <c r="AH86" t="s">
        <v>74</v>
      </c>
      <c r="AI86">
        <v>0</v>
      </c>
      <c r="AJ86">
        <v>0</v>
      </c>
      <c r="AK86" t="s">
        <v>74</v>
      </c>
      <c r="AL86" t="s">
        <v>74</v>
      </c>
      <c r="AM86" t="s">
        <v>74</v>
      </c>
      <c r="AN86" t="s">
        <v>74</v>
      </c>
      <c r="AO86" t="s">
        <v>74</v>
      </c>
      <c r="AP86" t="s">
        <v>74</v>
      </c>
      <c r="AQ86" t="s">
        <v>74</v>
      </c>
      <c r="AR86" t="s">
        <v>74</v>
      </c>
      <c r="AS86" t="s">
        <v>74</v>
      </c>
      <c r="AT86" t="s">
        <v>74</v>
      </c>
      <c r="AU86" t="s">
        <v>74</v>
      </c>
      <c r="AV86">
        <v>2024</v>
      </c>
      <c r="AW86">
        <v>40</v>
      </c>
      <c r="AX86">
        <v>1</v>
      </c>
      <c r="AY86" t="s">
        <v>74</v>
      </c>
      <c r="AZ86" t="s">
        <v>74</v>
      </c>
      <c r="BA86" t="s">
        <v>74</v>
      </c>
      <c r="BB86" t="s">
        <v>74</v>
      </c>
      <c r="BC86">
        <v>5</v>
      </c>
      <c r="BD86">
        <v>24</v>
      </c>
      <c r="BE86" t="s">
        <v>74</v>
      </c>
      <c r="BF86" t="s">
        <v>971</v>
      </c>
      <c r="BG86" t="str">
        <f>HYPERLINK("http://dx.doi.org/10.24425/gsm.2024.149302","http://dx.doi.org/10.24425/gsm.2024.149302")</f>
        <v>http://dx.doi.org/10.24425/gsm.2024.149302</v>
      </c>
      <c r="BH86" t="s">
        <v>74</v>
      </c>
      <c r="BI86" t="s">
        <v>74</v>
      </c>
      <c r="BJ86" t="s">
        <v>74</v>
      </c>
      <c r="BK86" t="s">
        <v>74</v>
      </c>
      <c r="BL86" t="s">
        <v>74</v>
      </c>
      <c r="BM86" t="s">
        <v>74</v>
      </c>
      <c r="BN86" t="s">
        <v>74</v>
      </c>
      <c r="BO86" t="s">
        <v>74</v>
      </c>
      <c r="BP86" t="s">
        <v>74</v>
      </c>
      <c r="BQ86" t="s">
        <v>74</v>
      </c>
      <c r="BR86" t="s">
        <v>74</v>
      </c>
      <c r="BS86" t="s">
        <v>86</v>
      </c>
      <c r="BT86" t="s">
        <v>972</v>
      </c>
      <c r="BU86" t="str">
        <f>HYPERLINK("https%3A%2F%2Fwww.webofscience.com%2Fwos%2Fwoscc%2Ffull-record%2FWOS:001194970700004","View Full Record in Web of Science")</f>
        <v>View Full Record in Web of Science</v>
      </c>
    </row>
    <row r="87" spans="1:73" ht="289" x14ac:dyDescent="0.2">
      <c r="A87" t="s">
        <v>72</v>
      </c>
      <c r="B87" t="s">
        <v>973</v>
      </c>
      <c r="C87" t="s">
        <v>74</v>
      </c>
      <c r="D87" t="s">
        <v>74</v>
      </c>
      <c r="E87" t="s">
        <v>74</v>
      </c>
      <c r="F87" t="s">
        <v>974</v>
      </c>
      <c r="G87" t="s">
        <v>74</v>
      </c>
      <c r="H87" t="s">
        <v>74</v>
      </c>
      <c r="I87" t="s">
        <v>975</v>
      </c>
      <c r="J87" t="s">
        <v>139</v>
      </c>
      <c r="K87" t="s">
        <v>74</v>
      </c>
      <c r="L87" t="s">
        <v>74</v>
      </c>
      <c r="M87" t="s">
        <v>74</v>
      </c>
      <c r="N87" t="s">
        <v>78</v>
      </c>
      <c r="O87" t="s">
        <v>74</v>
      </c>
      <c r="P87" t="s">
        <v>74</v>
      </c>
      <c r="Q87" t="s">
        <v>74</v>
      </c>
      <c r="R87" t="s">
        <v>74</v>
      </c>
      <c r="S87" t="s">
        <v>74</v>
      </c>
      <c r="T87" t="s">
        <v>74</v>
      </c>
      <c r="U87" t="s">
        <v>74</v>
      </c>
      <c r="V87" t="b">
        <v>0</v>
      </c>
      <c r="W87" s="1" t="s">
        <v>976</v>
      </c>
      <c r="X87" t="s">
        <v>977</v>
      </c>
      <c r="Y87" t="s">
        <v>74</v>
      </c>
      <c r="Z87" t="s">
        <v>978</v>
      </c>
      <c r="AA87" t="s">
        <v>979</v>
      </c>
      <c r="AB87" t="s">
        <v>74</v>
      </c>
      <c r="AC87" t="s">
        <v>74</v>
      </c>
      <c r="AD87" t="s">
        <v>74</v>
      </c>
      <c r="AE87" t="s">
        <v>74</v>
      </c>
      <c r="AF87" t="s">
        <v>74</v>
      </c>
      <c r="AG87" t="s">
        <v>74</v>
      </c>
      <c r="AH87" t="s">
        <v>74</v>
      </c>
      <c r="AI87">
        <v>26</v>
      </c>
      <c r="AJ87">
        <v>28</v>
      </c>
      <c r="AK87" t="s">
        <v>74</v>
      </c>
      <c r="AL87" t="s">
        <v>74</v>
      </c>
      <c r="AM87" t="s">
        <v>74</v>
      </c>
      <c r="AN87" t="s">
        <v>74</v>
      </c>
      <c r="AO87" t="s">
        <v>74</v>
      </c>
      <c r="AP87" t="s">
        <v>74</v>
      </c>
      <c r="AQ87" t="s">
        <v>74</v>
      </c>
      <c r="AR87" t="s">
        <v>74</v>
      </c>
      <c r="AS87" t="s">
        <v>74</v>
      </c>
      <c r="AT87" t="s">
        <v>74</v>
      </c>
      <c r="AU87" t="s">
        <v>980</v>
      </c>
      <c r="AV87">
        <v>2024</v>
      </c>
      <c r="AW87">
        <v>444</v>
      </c>
      <c r="AX87" t="s">
        <v>74</v>
      </c>
      <c r="AY87" t="s">
        <v>74</v>
      </c>
      <c r="AZ87" t="s">
        <v>74</v>
      </c>
      <c r="BA87" t="s">
        <v>74</v>
      </c>
      <c r="BB87" t="s">
        <v>74</v>
      </c>
      <c r="BC87" t="s">
        <v>74</v>
      </c>
      <c r="BD87" t="s">
        <v>74</v>
      </c>
      <c r="BE87">
        <v>141139</v>
      </c>
      <c r="BF87" t="s">
        <v>981</v>
      </c>
      <c r="BG87" t="str">
        <f>HYPERLINK("http://dx.doi.org/10.1016/j.jclepro.2024.141139","http://dx.doi.org/10.1016/j.jclepro.2024.141139")</f>
        <v>http://dx.doi.org/10.1016/j.jclepro.2024.141139</v>
      </c>
      <c r="BH87" t="s">
        <v>74</v>
      </c>
      <c r="BI87" t="s">
        <v>982</v>
      </c>
      <c r="BJ87" t="s">
        <v>74</v>
      </c>
      <c r="BK87" t="s">
        <v>74</v>
      </c>
      <c r="BL87" t="s">
        <v>74</v>
      </c>
      <c r="BM87" t="s">
        <v>74</v>
      </c>
      <c r="BN87" t="s">
        <v>74</v>
      </c>
      <c r="BO87" t="s">
        <v>74</v>
      </c>
      <c r="BP87" t="s">
        <v>74</v>
      </c>
      <c r="BQ87" t="s">
        <v>74</v>
      </c>
      <c r="BR87" t="s">
        <v>74</v>
      </c>
      <c r="BS87" t="s">
        <v>86</v>
      </c>
      <c r="BT87" t="s">
        <v>983</v>
      </c>
      <c r="BU87" t="str">
        <f>HYPERLINK("https%3A%2F%2Fwww.webofscience.com%2Fwos%2Fwoscc%2Ffull-record%2FWOS:001200388300001","View Full Record in Web of Science")</f>
        <v>View Full Record in Web of Science</v>
      </c>
    </row>
    <row r="88" spans="1:73" ht="204" x14ac:dyDescent="0.2">
      <c r="A88" t="s">
        <v>72</v>
      </c>
      <c r="B88" t="s">
        <v>984</v>
      </c>
      <c r="C88" t="s">
        <v>74</v>
      </c>
      <c r="D88" t="s">
        <v>74</v>
      </c>
      <c r="E88" t="s">
        <v>74</v>
      </c>
      <c r="F88" t="s">
        <v>985</v>
      </c>
      <c r="G88" t="s">
        <v>74</v>
      </c>
      <c r="H88" t="s">
        <v>74</v>
      </c>
      <c r="I88" t="s">
        <v>986</v>
      </c>
      <c r="J88" t="s">
        <v>463</v>
      </c>
      <c r="K88" t="s">
        <v>74</v>
      </c>
      <c r="L88" t="s">
        <v>74</v>
      </c>
      <c r="M88" t="s">
        <v>74</v>
      </c>
      <c r="N88" t="s">
        <v>452</v>
      </c>
      <c r="O88" t="s">
        <v>74</v>
      </c>
      <c r="P88" t="s">
        <v>74</v>
      </c>
      <c r="Q88" t="s">
        <v>74</v>
      </c>
      <c r="R88" t="s">
        <v>74</v>
      </c>
      <c r="S88" t="s">
        <v>74</v>
      </c>
      <c r="T88" t="s">
        <v>74</v>
      </c>
      <c r="U88" t="s">
        <v>74</v>
      </c>
      <c r="V88" t="b">
        <v>0</v>
      </c>
      <c r="W88" s="1" t="s">
        <v>987</v>
      </c>
      <c r="X88" t="s">
        <v>988</v>
      </c>
      <c r="Y88" t="s">
        <v>74</v>
      </c>
      <c r="Z88" t="s">
        <v>989</v>
      </c>
      <c r="AA88" t="s">
        <v>990</v>
      </c>
      <c r="AB88" t="s">
        <v>74</v>
      </c>
      <c r="AC88" t="s">
        <v>74</v>
      </c>
      <c r="AD88" t="s">
        <v>74</v>
      </c>
      <c r="AE88" t="s">
        <v>74</v>
      </c>
      <c r="AF88" t="s">
        <v>74</v>
      </c>
      <c r="AG88" t="s">
        <v>74</v>
      </c>
      <c r="AH88" t="s">
        <v>74</v>
      </c>
      <c r="AI88">
        <v>108</v>
      </c>
      <c r="AJ88">
        <v>119</v>
      </c>
      <c r="AK88" t="s">
        <v>74</v>
      </c>
      <c r="AL88" t="s">
        <v>74</v>
      </c>
      <c r="AM88" t="s">
        <v>74</v>
      </c>
      <c r="AN88" t="s">
        <v>74</v>
      </c>
      <c r="AO88" t="s">
        <v>74</v>
      </c>
      <c r="AP88" t="s">
        <v>74</v>
      </c>
      <c r="AQ88" t="s">
        <v>74</v>
      </c>
      <c r="AR88" t="s">
        <v>74</v>
      </c>
      <c r="AS88" t="s">
        <v>74</v>
      </c>
      <c r="AT88" t="s">
        <v>74</v>
      </c>
      <c r="AU88" t="s">
        <v>991</v>
      </c>
      <c r="AV88">
        <v>2022</v>
      </c>
      <c r="AW88">
        <v>182</v>
      </c>
      <c r="AX88" t="s">
        <v>74</v>
      </c>
      <c r="AY88" t="s">
        <v>74</v>
      </c>
      <c r="AZ88" t="s">
        <v>74</v>
      </c>
      <c r="BA88" t="s">
        <v>74</v>
      </c>
      <c r="BB88" t="s">
        <v>74</v>
      </c>
      <c r="BC88" t="s">
        <v>74</v>
      </c>
      <c r="BD88" t="s">
        <v>74</v>
      </c>
      <c r="BE88">
        <v>107537</v>
      </c>
      <c r="BF88" t="s">
        <v>992</v>
      </c>
      <c r="BG88" t="str">
        <f>HYPERLINK("http://dx.doi.org/10.1016/j.mineng.2022.107537","http://dx.doi.org/10.1016/j.mineng.2022.107537")</f>
        <v>http://dx.doi.org/10.1016/j.mineng.2022.107537</v>
      </c>
      <c r="BH88" t="s">
        <v>74</v>
      </c>
      <c r="BI88" t="s">
        <v>993</v>
      </c>
      <c r="BJ88" t="s">
        <v>74</v>
      </c>
      <c r="BK88" t="s">
        <v>74</v>
      </c>
      <c r="BL88" t="s">
        <v>74</v>
      </c>
      <c r="BM88" t="s">
        <v>74</v>
      </c>
      <c r="BN88" t="s">
        <v>74</v>
      </c>
      <c r="BO88" t="s">
        <v>74</v>
      </c>
      <c r="BP88" t="s">
        <v>74</v>
      </c>
      <c r="BQ88" t="s">
        <v>98</v>
      </c>
      <c r="BR88" t="s">
        <v>636</v>
      </c>
      <c r="BS88" t="s">
        <v>86</v>
      </c>
      <c r="BT88" t="s">
        <v>994</v>
      </c>
      <c r="BU88" t="str">
        <f>HYPERLINK("https%3A%2F%2Fwww.webofscience.com%2Fwos%2Fwoscc%2Ffull-record%2FWOS:000793661100010","View Full Record in Web of Science")</f>
        <v>View Full Record in Web of Science</v>
      </c>
    </row>
    <row r="89" spans="1:73" ht="272" x14ac:dyDescent="0.2">
      <c r="A89" t="s">
        <v>72</v>
      </c>
      <c r="B89" t="s">
        <v>995</v>
      </c>
      <c r="C89" t="s">
        <v>74</v>
      </c>
      <c r="D89" t="s">
        <v>74</v>
      </c>
      <c r="E89" t="s">
        <v>74</v>
      </c>
      <c r="F89" t="s">
        <v>996</v>
      </c>
      <c r="G89" t="s">
        <v>74</v>
      </c>
      <c r="H89" t="s">
        <v>74</v>
      </c>
      <c r="I89" t="s">
        <v>997</v>
      </c>
      <c r="J89" t="s">
        <v>998</v>
      </c>
      <c r="K89" t="s">
        <v>74</v>
      </c>
      <c r="L89" t="s">
        <v>74</v>
      </c>
      <c r="M89" t="s">
        <v>74</v>
      </c>
      <c r="N89" t="s">
        <v>78</v>
      </c>
      <c r="O89" t="s">
        <v>74</v>
      </c>
      <c r="P89" t="s">
        <v>74</v>
      </c>
      <c r="Q89" t="s">
        <v>74</v>
      </c>
      <c r="R89" t="s">
        <v>74</v>
      </c>
      <c r="S89" t="s">
        <v>74</v>
      </c>
      <c r="T89" t="s">
        <v>74</v>
      </c>
      <c r="U89" t="s">
        <v>74</v>
      </c>
      <c r="V89" t="b">
        <v>0</v>
      </c>
      <c r="W89" s="1" t="s">
        <v>999</v>
      </c>
      <c r="X89" t="s">
        <v>1000</v>
      </c>
      <c r="Y89" t="s">
        <v>74</v>
      </c>
      <c r="Z89" t="s">
        <v>1001</v>
      </c>
      <c r="AA89" t="s">
        <v>1002</v>
      </c>
      <c r="AB89" t="s">
        <v>74</v>
      </c>
      <c r="AC89" t="s">
        <v>74</v>
      </c>
      <c r="AD89" t="s">
        <v>74</v>
      </c>
      <c r="AE89" t="s">
        <v>74</v>
      </c>
      <c r="AF89" t="s">
        <v>74</v>
      </c>
      <c r="AG89" t="s">
        <v>74</v>
      </c>
      <c r="AH89" t="s">
        <v>74</v>
      </c>
      <c r="AI89">
        <v>46</v>
      </c>
      <c r="AJ89">
        <v>54</v>
      </c>
      <c r="AK89" t="s">
        <v>74</v>
      </c>
      <c r="AL89" t="s">
        <v>74</v>
      </c>
      <c r="AM89" t="s">
        <v>74</v>
      </c>
      <c r="AN89" t="s">
        <v>74</v>
      </c>
      <c r="AO89" t="s">
        <v>74</v>
      </c>
      <c r="AP89" t="s">
        <v>74</v>
      </c>
      <c r="AQ89" t="s">
        <v>74</v>
      </c>
      <c r="AR89" t="s">
        <v>74</v>
      </c>
      <c r="AS89" t="s">
        <v>74</v>
      </c>
      <c r="AT89" t="s">
        <v>74</v>
      </c>
      <c r="AU89" t="s">
        <v>155</v>
      </c>
      <c r="AV89">
        <v>2012</v>
      </c>
      <c r="AW89">
        <v>60</v>
      </c>
      <c r="AX89" t="s">
        <v>74</v>
      </c>
      <c r="AY89" t="s">
        <v>74</v>
      </c>
      <c r="AZ89" t="s">
        <v>74</v>
      </c>
      <c r="BA89" t="s">
        <v>74</v>
      </c>
      <c r="BB89" t="s">
        <v>74</v>
      </c>
      <c r="BC89">
        <v>89</v>
      </c>
      <c r="BD89">
        <v>116</v>
      </c>
      <c r="BE89" t="s">
        <v>74</v>
      </c>
      <c r="BF89" t="s">
        <v>1003</v>
      </c>
      <c r="BG89" t="str">
        <f>HYPERLINK("http://dx.doi.org/10.1016/j.pnucene.2012.05.008","http://dx.doi.org/10.1016/j.pnucene.2012.05.008")</f>
        <v>http://dx.doi.org/10.1016/j.pnucene.2012.05.008</v>
      </c>
      <c r="BH89" t="s">
        <v>74</v>
      </c>
      <c r="BI89" t="s">
        <v>74</v>
      </c>
      <c r="BJ89" t="s">
        <v>74</v>
      </c>
      <c r="BK89" t="s">
        <v>74</v>
      </c>
      <c r="BL89" t="s">
        <v>74</v>
      </c>
      <c r="BM89" t="s">
        <v>74</v>
      </c>
      <c r="BN89" t="s">
        <v>74</v>
      </c>
      <c r="BO89" t="s">
        <v>74</v>
      </c>
      <c r="BP89" t="s">
        <v>74</v>
      </c>
      <c r="BQ89" t="s">
        <v>74</v>
      </c>
      <c r="BR89" t="s">
        <v>74</v>
      </c>
      <c r="BS89" t="s">
        <v>86</v>
      </c>
      <c r="BT89" t="s">
        <v>1004</v>
      </c>
      <c r="BU89" t="str">
        <f>HYPERLINK("https%3A%2F%2Fwww.webofscience.com%2Fwos%2Fwoscc%2Ffull-record%2FWOS:000308386700011","View Full Record in Web of Science")</f>
        <v>View Full Record in Web of Science</v>
      </c>
    </row>
    <row r="90" spans="1:73" ht="221" x14ac:dyDescent="0.2">
      <c r="A90" t="s">
        <v>72</v>
      </c>
      <c r="B90" t="s">
        <v>1005</v>
      </c>
      <c r="C90" t="s">
        <v>74</v>
      </c>
      <c r="D90" t="s">
        <v>74</v>
      </c>
      <c r="E90" t="s">
        <v>74</v>
      </c>
      <c r="F90" t="s">
        <v>1006</v>
      </c>
      <c r="G90" t="s">
        <v>74</v>
      </c>
      <c r="H90" t="s">
        <v>74</v>
      </c>
      <c r="I90" t="s">
        <v>1007</v>
      </c>
      <c r="J90" t="s">
        <v>1008</v>
      </c>
      <c r="K90" t="s">
        <v>74</v>
      </c>
      <c r="L90" t="s">
        <v>74</v>
      </c>
      <c r="M90" t="s">
        <v>74</v>
      </c>
      <c r="N90" t="s">
        <v>452</v>
      </c>
      <c r="O90" t="s">
        <v>74</v>
      </c>
      <c r="P90" t="s">
        <v>74</v>
      </c>
      <c r="Q90" t="s">
        <v>74</v>
      </c>
      <c r="R90" t="s">
        <v>74</v>
      </c>
      <c r="S90" t="s">
        <v>74</v>
      </c>
      <c r="T90" t="s">
        <v>74</v>
      </c>
      <c r="U90" t="s">
        <v>74</v>
      </c>
      <c r="V90" t="b">
        <v>0</v>
      </c>
      <c r="W90" s="1" t="s">
        <v>1009</v>
      </c>
      <c r="X90" t="s">
        <v>1010</v>
      </c>
      <c r="Y90" t="s">
        <v>74</v>
      </c>
      <c r="Z90" t="s">
        <v>1011</v>
      </c>
      <c r="AA90" t="s">
        <v>1012</v>
      </c>
      <c r="AB90" t="s">
        <v>74</v>
      </c>
      <c r="AC90" t="s">
        <v>74</v>
      </c>
      <c r="AD90" t="s">
        <v>74</v>
      </c>
      <c r="AE90" t="s">
        <v>74</v>
      </c>
      <c r="AF90" t="s">
        <v>74</v>
      </c>
      <c r="AG90" t="s">
        <v>74</v>
      </c>
      <c r="AH90" t="s">
        <v>74</v>
      </c>
      <c r="AI90">
        <v>2082</v>
      </c>
      <c r="AJ90">
        <v>2297</v>
      </c>
      <c r="AK90" t="s">
        <v>74</v>
      </c>
      <c r="AL90" t="s">
        <v>74</v>
      </c>
      <c r="AM90" t="s">
        <v>74</v>
      </c>
      <c r="AN90" t="s">
        <v>74</v>
      </c>
      <c r="AO90" t="s">
        <v>74</v>
      </c>
      <c r="AP90" t="s">
        <v>74</v>
      </c>
      <c r="AQ90" t="s">
        <v>74</v>
      </c>
      <c r="AR90" t="s">
        <v>74</v>
      </c>
      <c r="AS90" t="s">
        <v>74</v>
      </c>
      <c r="AT90" t="s">
        <v>74</v>
      </c>
      <c r="AU90" t="s">
        <v>950</v>
      </c>
      <c r="AV90">
        <v>2018</v>
      </c>
      <c r="AW90">
        <v>11</v>
      </c>
      <c r="AX90">
        <v>10</v>
      </c>
      <c r="AY90" t="s">
        <v>74</v>
      </c>
      <c r="AZ90" t="s">
        <v>74</v>
      </c>
      <c r="BA90" t="s">
        <v>74</v>
      </c>
      <c r="BB90" t="s">
        <v>74</v>
      </c>
      <c r="BC90">
        <v>2696</v>
      </c>
      <c r="BD90">
        <v>2767</v>
      </c>
      <c r="BE90" t="s">
        <v>74</v>
      </c>
      <c r="BF90" t="s">
        <v>1013</v>
      </c>
      <c r="BG90" t="str">
        <f>HYPERLINK("http://dx.doi.org/10.1039/c8ee01419a","http://dx.doi.org/10.1039/c8ee01419a")</f>
        <v>http://dx.doi.org/10.1039/c8ee01419a</v>
      </c>
      <c r="BH90" t="s">
        <v>74</v>
      </c>
      <c r="BI90" t="s">
        <v>74</v>
      </c>
      <c r="BJ90" t="s">
        <v>74</v>
      </c>
      <c r="BK90" t="s">
        <v>74</v>
      </c>
      <c r="BL90" t="s">
        <v>74</v>
      </c>
      <c r="BM90" t="s">
        <v>74</v>
      </c>
      <c r="BN90" t="s">
        <v>74</v>
      </c>
      <c r="BO90" t="s">
        <v>74</v>
      </c>
      <c r="BP90" t="s">
        <v>74</v>
      </c>
      <c r="BQ90" t="s">
        <v>98</v>
      </c>
      <c r="BR90" t="s">
        <v>636</v>
      </c>
      <c r="BS90" t="s">
        <v>86</v>
      </c>
      <c r="BT90" t="s">
        <v>1014</v>
      </c>
      <c r="BU90" t="str">
        <f>HYPERLINK("https%3A%2F%2Fwww.webofscience.com%2Fwos%2Fwoscc%2Ffull-record%2FWOS:000448339100002","View Full Record in Web of Science")</f>
        <v>View Full Record in Web of Science</v>
      </c>
    </row>
    <row r="91" spans="1:73" ht="255" x14ac:dyDescent="0.2">
      <c r="A91" t="s">
        <v>72</v>
      </c>
      <c r="B91" t="s">
        <v>1015</v>
      </c>
      <c r="C91" t="s">
        <v>74</v>
      </c>
      <c r="D91" t="s">
        <v>74</v>
      </c>
      <c r="E91" t="s">
        <v>74</v>
      </c>
      <c r="F91" t="s">
        <v>1016</v>
      </c>
      <c r="G91" t="s">
        <v>74</v>
      </c>
      <c r="H91" t="s">
        <v>74</v>
      </c>
      <c r="I91" t="s">
        <v>1017</v>
      </c>
      <c r="J91" t="s">
        <v>1018</v>
      </c>
      <c r="K91" t="s">
        <v>74</v>
      </c>
      <c r="L91" t="s">
        <v>74</v>
      </c>
      <c r="M91" t="s">
        <v>74</v>
      </c>
      <c r="N91" t="s">
        <v>78</v>
      </c>
      <c r="O91" t="s">
        <v>74</v>
      </c>
      <c r="P91" t="s">
        <v>74</v>
      </c>
      <c r="Q91" t="s">
        <v>74</v>
      </c>
      <c r="R91" t="s">
        <v>74</v>
      </c>
      <c r="S91" t="s">
        <v>74</v>
      </c>
      <c r="T91" t="s">
        <v>74</v>
      </c>
      <c r="U91" t="s">
        <v>74</v>
      </c>
      <c r="V91" t="b">
        <v>0</v>
      </c>
      <c r="W91" s="1" t="s">
        <v>1019</v>
      </c>
      <c r="X91" t="s">
        <v>1020</v>
      </c>
      <c r="Y91" t="s">
        <v>74</v>
      </c>
      <c r="Z91" t="s">
        <v>1021</v>
      </c>
      <c r="AA91" t="s">
        <v>1022</v>
      </c>
      <c r="AB91" t="s">
        <v>74</v>
      </c>
      <c r="AC91" t="s">
        <v>74</v>
      </c>
      <c r="AD91" t="s">
        <v>74</v>
      </c>
      <c r="AE91" t="s">
        <v>74</v>
      </c>
      <c r="AF91" t="s">
        <v>74</v>
      </c>
      <c r="AG91" t="s">
        <v>74</v>
      </c>
      <c r="AH91" t="s">
        <v>74</v>
      </c>
      <c r="AI91">
        <v>2</v>
      </c>
      <c r="AJ91">
        <v>6</v>
      </c>
      <c r="AK91" t="s">
        <v>74</v>
      </c>
      <c r="AL91" t="s">
        <v>74</v>
      </c>
      <c r="AM91" t="s">
        <v>74</v>
      </c>
      <c r="AN91" t="s">
        <v>74</v>
      </c>
      <c r="AO91" t="s">
        <v>74</v>
      </c>
      <c r="AP91" t="s">
        <v>74</v>
      </c>
      <c r="AQ91" t="s">
        <v>74</v>
      </c>
      <c r="AR91" t="s">
        <v>74</v>
      </c>
      <c r="AS91" t="s">
        <v>74</v>
      </c>
      <c r="AT91" t="s">
        <v>74</v>
      </c>
      <c r="AU91" t="s">
        <v>425</v>
      </c>
      <c r="AV91">
        <v>2021</v>
      </c>
      <c r="AW91">
        <v>65</v>
      </c>
      <c r="AX91">
        <v>10</v>
      </c>
      <c r="AY91" t="s">
        <v>74</v>
      </c>
      <c r="AZ91" t="s">
        <v>74</v>
      </c>
      <c r="BA91" t="s">
        <v>74</v>
      </c>
      <c r="BB91" t="s">
        <v>74</v>
      </c>
      <c r="BC91">
        <v>33</v>
      </c>
      <c r="BD91">
        <v>44</v>
      </c>
      <c r="BE91" t="s">
        <v>74</v>
      </c>
      <c r="BF91" t="s">
        <v>1023</v>
      </c>
      <c r="BG91" t="str">
        <f>HYPERLINK("http://dx.doi.org/10.20542/0131-2227-2021-65-10-33-44","http://dx.doi.org/10.20542/0131-2227-2021-65-10-33-44")</f>
        <v>http://dx.doi.org/10.20542/0131-2227-2021-65-10-33-44</v>
      </c>
      <c r="BH91" t="s">
        <v>74</v>
      </c>
      <c r="BI91" t="s">
        <v>74</v>
      </c>
      <c r="BJ91" t="s">
        <v>74</v>
      </c>
      <c r="BK91" t="s">
        <v>74</v>
      </c>
      <c r="BL91" t="s">
        <v>74</v>
      </c>
      <c r="BM91" t="s">
        <v>74</v>
      </c>
      <c r="BN91" t="s">
        <v>74</v>
      </c>
      <c r="BO91" t="s">
        <v>74</v>
      </c>
      <c r="BP91" t="s">
        <v>74</v>
      </c>
      <c r="BQ91" t="s">
        <v>74</v>
      </c>
      <c r="BR91" t="s">
        <v>74</v>
      </c>
      <c r="BS91" t="s">
        <v>86</v>
      </c>
      <c r="BT91" t="s">
        <v>1024</v>
      </c>
      <c r="BU91" t="str">
        <f>HYPERLINK("https%3A%2F%2Fwww.webofscience.com%2Fwos%2Fwoscc%2Ffull-record%2FWOS:000716118900004","View Full Record in Web of Science")</f>
        <v>View Full Record in Web of Science</v>
      </c>
    </row>
    <row r="92" spans="1:73" ht="119" x14ac:dyDescent="0.2">
      <c r="A92" t="s">
        <v>72</v>
      </c>
      <c r="B92" t="s">
        <v>73</v>
      </c>
      <c r="C92" t="s">
        <v>74</v>
      </c>
      <c r="D92" t="s">
        <v>74</v>
      </c>
      <c r="E92" t="s">
        <v>74</v>
      </c>
      <c r="F92" t="s">
        <v>75</v>
      </c>
      <c r="G92" t="s">
        <v>74</v>
      </c>
      <c r="H92" t="s">
        <v>74</v>
      </c>
      <c r="I92" t="s">
        <v>76</v>
      </c>
      <c r="J92" t="s">
        <v>77</v>
      </c>
      <c r="K92" t="s">
        <v>74</v>
      </c>
      <c r="L92" t="s">
        <v>74</v>
      </c>
      <c r="M92" t="s">
        <v>1025</v>
      </c>
      <c r="N92" t="s">
        <v>78</v>
      </c>
      <c r="O92" t="s">
        <v>74</v>
      </c>
      <c r="P92" t="s">
        <v>74</v>
      </c>
      <c r="Q92" t="s">
        <v>74</v>
      </c>
      <c r="R92" t="s">
        <v>74</v>
      </c>
      <c r="S92" t="s">
        <v>74</v>
      </c>
      <c r="T92" t="s">
        <v>1026</v>
      </c>
      <c r="U92" t="s">
        <v>1027</v>
      </c>
      <c r="V92" t="b">
        <v>1</v>
      </c>
      <c r="W92" s="1" t="s">
        <v>79</v>
      </c>
      <c r="X92" t="s">
        <v>80</v>
      </c>
      <c r="Y92" t="s">
        <v>1028</v>
      </c>
      <c r="Z92" t="s">
        <v>81</v>
      </c>
      <c r="AA92" t="s">
        <v>82</v>
      </c>
      <c r="AB92" t="s">
        <v>1029</v>
      </c>
      <c r="AC92" t="s">
        <v>74</v>
      </c>
      <c r="AD92" t="s">
        <v>1030</v>
      </c>
      <c r="AE92" t="s">
        <v>1031</v>
      </c>
      <c r="AF92" t="s">
        <v>1032</v>
      </c>
      <c r="AG92" t="s">
        <v>74</v>
      </c>
      <c r="AH92">
        <v>62</v>
      </c>
      <c r="AI92">
        <v>11</v>
      </c>
      <c r="AJ92">
        <v>13</v>
      </c>
      <c r="AK92">
        <v>70</v>
      </c>
      <c r="AL92">
        <v>183</v>
      </c>
      <c r="AM92" t="s">
        <v>1033</v>
      </c>
      <c r="AN92" t="s">
        <v>1034</v>
      </c>
      <c r="AO92" t="s">
        <v>1035</v>
      </c>
      <c r="AP92" t="s">
        <v>1036</v>
      </c>
      <c r="AQ92" t="s">
        <v>1037</v>
      </c>
      <c r="AR92" t="s">
        <v>74</v>
      </c>
      <c r="AS92" t="s">
        <v>1038</v>
      </c>
      <c r="AT92" t="s">
        <v>1039</v>
      </c>
      <c r="AU92" t="s">
        <v>83</v>
      </c>
      <c r="AV92">
        <v>2025</v>
      </c>
      <c r="AW92">
        <v>215</v>
      </c>
      <c r="AX92" t="s">
        <v>74</v>
      </c>
      <c r="AY92" t="s">
        <v>74</v>
      </c>
      <c r="AZ92" t="s">
        <v>74</v>
      </c>
      <c r="BA92" t="s">
        <v>74</v>
      </c>
      <c r="BB92" t="s">
        <v>74</v>
      </c>
      <c r="BC92" t="s">
        <v>74</v>
      </c>
      <c r="BD92" t="s">
        <v>74</v>
      </c>
      <c r="BE92">
        <v>108161</v>
      </c>
      <c r="BF92" t="s">
        <v>84</v>
      </c>
      <c r="BG92" t="s">
        <v>3163</v>
      </c>
      <c r="BH92" t="s">
        <v>74</v>
      </c>
      <c r="BI92" t="s">
        <v>85</v>
      </c>
      <c r="BJ92">
        <v>13</v>
      </c>
      <c r="BK92" t="s">
        <v>1040</v>
      </c>
      <c r="BL92" t="s">
        <v>1041</v>
      </c>
      <c r="BM92" t="s">
        <v>1042</v>
      </c>
      <c r="BN92" t="s">
        <v>1043</v>
      </c>
      <c r="BO92" t="s">
        <v>74</v>
      </c>
      <c r="BP92" t="s">
        <v>74</v>
      </c>
      <c r="BQ92" t="s">
        <v>74</v>
      </c>
      <c r="BR92" t="s">
        <v>74</v>
      </c>
      <c r="BS92" t="s">
        <v>86</v>
      </c>
      <c r="BT92" t="s">
        <v>87</v>
      </c>
      <c r="BU92" t="s">
        <v>3164</v>
      </c>
    </row>
    <row r="93" spans="1:73" ht="102" x14ac:dyDescent="0.2">
      <c r="A93" t="s">
        <v>72</v>
      </c>
      <c r="B93" t="s">
        <v>1044</v>
      </c>
      <c r="C93" t="s">
        <v>74</v>
      </c>
      <c r="D93" t="s">
        <v>74</v>
      </c>
      <c r="E93" t="s">
        <v>74</v>
      </c>
      <c r="F93" t="s">
        <v>1045</v>
      </c>
      <c r="G93" t="s">
        <v>74</v>
      </c>
      <c r="H93" t="s">
        <v>74</v>
      </c>
      <c r="I93" t="s">
        <v>1046</v>
      </c>
      <c r="J93" t="s">
        <v>641</v>
      </c>
      <c r="K93" t="s">
        <v>74</v>
      </c>
      <c r="L93" t="s">
        <v>74</v>
      </c>
      <c r="M93" t="s">
        <v>1025</v>
      </c>
      <c r="N93" t="s">
        <v>78</v>
      </c>
      <c r="O93" t="s">
        <v>74</v>
      </c>
      <c r="P93" t="s">
        <v>74</v>
      </c>
      <c r="Q93" t="s">
        <v>74</v>
      </c>
      <c r="R93" t="s">
        <v>74</v>
      </c>
      <c r="S93" t="s">
        <v>74</v>
      </c>
      <c r="T93" t="s">
        <v>1047</v>
      </c>
      <c r="U93" t="s">
        <v>1048</v>
      </c>
      <c r="V93" t="b">
        <v>0</v>
      </c>
      <c r="W93" s="1" t="s">
        <v>1049</v>
      </c>
      <c r="X93" t="s">
        <v>1050</v>
      </c>
      <c r="Y93" t="s">
        <v>1051</v>
      </c>
      <c r="Z93" t="s">
        <v>1052</v>
      </c>
      <c r="AA93" t="s">
        <v>1053</v>
      </c>
      <c r="AB93" t="s">
        <v>1054</v>
      </c>
      <c r="AC93" t="s">
        <v>1055</v>
      </c>
      <c r="AD93" t="s">
        <v>1056</v>
      </c>
      <c r="AE93" t="s">
        <v>1057</v>
      </c>
      <c r="AF93" t="s">
        <v>1058</v>
      </c>
      <c r="AG93" t="s">
        <v>74</v>
      </c>
      <c r="AH93">
        <v>11</v>
      </c>
      <c r="AI93">
        <v>2</v>
      </c>
      <c r="AJ93">
        <v>2</v>
      </c>
      <c r="AK93">
        <v>0</v>
      </c>
      <c r="AL93">
        <v>9</v>
      </c>
      <c r="AM93" t="s">
        <v>1059</v>
      </c>
      <c r="AN93" t="s">
        <v>1060</v>
      </c>
      <c r="AO93" t="s">
        <v>1061</v>
      </c>
      <c r="AP93" t="s">
        <v>1062</v>
      </c>
      <c r="AQ93" t="s">
        <v>74</v>
      </c>
      <c r="AR93" t="s">
        <v>74</v>
      </c>
      <c r="AS93" t="s">
        <v>1063</v>
      </c>
      <c r="AT93" t="s">
        <v>1064</v>
      </c>
      <c r="AU93" t="s">
        <v>425</v>
      </c>
      <c r="AV93">
        <v>2012</v>
      </c>
      <c r="AW93">
        <v>87</v>
      </c>
      <c r="AX93">
        <v>10</v>
      </c>
      <c r="AY93" t="s">
        <v>74</v>
      </c>
      <c r="AZ93" t="s">
        <v>74</v>
      </c>
      <c r="BA93" t="s">
        <v>456</v>
      </c>
      <c r="BB93" t="s">
        <v>74</v>
      </c>
      <c r="BC93">
        <v>1765</v>
      </c>
      <c r="BD93">
        <v>1769</v>
      </c>
      <c r="BE93" t="s">
        <v>74</v>
      </c>
      <c r="BF93" t="s">
        <v>1065</v>
      </c>
      <c r="BG93" t="s">
        <v>3165</v>
      </c>
      <c r="BH93" t="s">
        <v>74</v>
      </c>
      <c r="BI93" t="s">
        <v>74</v>
      </c>
      <c r="BJ93">
        <v>5</v>
      </c>
      <c r="BK93" t="s">
        <v>1066</v>
      </c>
      <c r="BL93" t="s">
        <v>1041</v>
      </c>
      <c r="BM93" t="s">
        <v>1066</v>
      </c>
      <c r="BN93" t="s">
        <v>1067</v>
      </c>
      <c r="BO93" t="s">
        <v>74</v>
      </c>
      <c r="BP93" t="s">
        <v>74</v>
      </c>
      <c r="BQ93" t="s">
        <v>74</v>
      </c>
      <c r="BR93" t="s">
        <v>74</v>
      </c>
      <c r="BS93" t="s">
        <v>86</v>
      </c>
      <c r="BT93" t="s">
        <v>1068</v>
      </c>
      <c r="BU93" t="s">
        <v>3164</v>
      </c>
    </row>
    <row r="94" spans="1:73" ht="153" x14ac:dyDescent="0.2">
      <c r="A94" t="s">
        <v>72</v>
      </c>
      <c r="B94" t="s">
        <v>1069</v>
      </c>
      <c r="C94" t="s">
        <v>74</v>
      </c>
      <c r="D94" t="s">
        <v>74</v>
      </c>
      <c r="E94" t="s">
        <v>74</v>
      </c>
      <c r="F94" t="s">
        <v>1070</v>
      </c>
      <c r="G94" t="s">
        <v>74</v>
      </c>
      <c r="H94" t="s">
        <v>74</v>
      </c>
      <c r="I94" t="s">
        <v>1071</v>
      </c>
      <c r="J94" t="s">
        <v>1072</v>
      </c>
      <c r="K94" t="s">
        <v>74</v>
      </c>
      <c r="L94" t="s">
        <v>74</v>
      </c>
      <c r="M94" t="s">
        <v>1025</v>
      </c>
      <c r="N94" t="s">
        <v>78</v>
      </c>
      <c r="O94" t="s">
        <v>74</v>
      </c>
      <c r="P94" t="s">
        <v>74</v>
      </c>
      <c r="Q94" t="s">
        <v>74</v>
      </c>
      <c r="R94" t="s">
        <v>74</v>
      </c>
      <c r="S94" t="s">
        <v>74</v>
      </c>
      <c r="T94" t="s">
        <v>1073</v>
      </c>
      <c r="U94" t="s">
        <v>1074</v>
      </c>
      <c r="V94" t="b">
        <v>0</v>
      </c>
      <c r="W94" s="1" t="s">
        <v>1075</v>
      </c>
      <c r="X94" t="s">
        <v>1076</v>
      </c>
      <c r="Y94" t="s">
        <v>1077</v>
      </c>
      <c r="Z94" t="s">
        <v>1078</v>
      </c>
      <c r="AA94" t="s">
        <v>1079</v>
      </c>
      <c r="AB94" t="s">
        <v>1080</v>
      </c>
      <c r="AC94" t="s">
        <v>74</v>
      </c>
      <c r="AD94" t="s">
        <v>74</v>
      </c>
      <c r="AE94" t="s">
        <v>74</v>
      </c>
      <c r="AF94" t="s">
        <v>74</v>
      </c>
      <c r="AG94" t="s">
        <v>74</v>
      </c>
      <c r="AH94">
        <v>27</v>
      </c>
      <c r="AI94">
        <v>20</v>
      </c>
      <c r="AJ94">
        <v>21</v>
      </c>
      <c r="AK94">
        <v>0</v>
      </c>
      <c r="AL94">
        <v>0</v>
      </c>
      <c r="AM94" t="s">
        <v>1081</v>
      </c>
      <c r="AN94" t="s">
        <v>1034</v>
      </c>
      <c r="AO94" t="s">
        <v>1082</v>
      </c>
      <c r="AP94" t="s">
        <v>1083</v>
      </c>
      <c r="AQ94" t="s">
        <v>74</v>
      </c>
      <c r="AR94" t="s">
        <v>74</v>
      </c>
      <c r="AS94" t="s">
        <v>1084</v>
      </c>
      <c r="AT94" t="s">
        <v>1085</v>
      </c>
      <c r="AU94" t="s">
        <v>1086</v>
      </c>
      <c r="AV94">
        <v>2006</v>
      </c>
      <c r="AW94">
        <v>553</v>
      </c>
      <c r="AX94" t="s">
        <v>1087</v>
      </c>
      <c r="AY94" t="s">
        <v>74</v>
      </c>
      <c r="AZ94" t="s">
        <v>74</v>
      </c>
      <c r="BA94" t="s">
        <v>74</v>
      </c>
      <c r="BB94" t="s">
        <v>74</v>
      </c>
      <c r="BC94">
        <v>157</v>
      </c>
      <c r="BD94">
        <v>162</v>
      </c>
      <c r="BE94" t="s">
        <v>74</v>
      </c>
      <c r="BF94" t="s">
        <v>1088</v>
      </c>
      <c r="BG94" t="s">
        <v>3166</v>
      </c>
      <c r="BH94" t="s">
        <v>74</v>
      </c>
      <c r="BI94" t="s">
        <v>74</v>
      </c>
      <c r="BJ94">
        <v>6</v>
      </c>
      <c r="BK94" t="s">
        <v>1089</v>
      </c>
      <c r="BL94" t="s">
        <v>1041</v>
      </c>
      <c r="BM94" t="s">
        <v>1089</v>
      </c>
      <c r="BN94" t="s">
        <v>1090</v>
      </c>
      <c r="BO94">
        <v>17070517</v>
      </c>
      <c r="BP94" t="s">
        <v>74</v>
      </c>
      <c r="BQ94" t="s">
        <v>74</v>
      </c>
      <c r="BR94" t="s">
        <v>74</v>
      </c>
      <c r="BS94" t="s">
        <v>86</v>
      </c>
      <c r="BT94" t="s">
        <v>1091</v>
      </c>
      <c r="BU94" t="s">
        <v>3164</v>
      </c>
    </row>
    <row r="95" spans="1:73" ht="17" x14ac:dyDescent="0.2">
      <c r="A95" t="s">
        <v>72</v>
      </c>
      <c r="B95" t="s">
        <v>1092</v>
      </c>
      <c r="C95" t="s">
        <v>74</v>
      </c>
      <c r="D95" t="s">
        <v>74</v>
      </c>
      <c r="E95" t="s">
        <v>74</v>
      </c>
      <c r="F95" t="s">
        <v>1092</v>
      </c>
      <c r="G95" t="s">
        <v>74</v>
      </c>
      <c r="H95" t="s">
        <v>74</v>
      </c>
      <c r="I95" t="s">
        <v>1093</v>
      </c>
      <c r="J95" t="s">
        <v>1094</v>
      </c>
      <c r="K95" t="s">
        <v>74</v>
      </c>
      <c r="L95" t="s">
        <v>74</v>
      </c>
      <c r="M95" t="s">
        <v>1025</v>
      </c>
      <c r="N95" t="s">
        <v>1095</v>
      </c>
      <c r="O95" t="s">
        <v>74</v>
      </c>
      <c r="P95" t="s">
        <v>74</v>
      </c>
      <c r="Q95" t="s">
        <v>74</v>
      </c>
      <c r="R95" t="s">
        <v>74</v>
      </c>
      <c r="S95" t="s">
        <v>74</v>
      </c>
      <c r="T95" t="s">
        <v>74</v>
      </c>
      <c r="U95" t="s">
        <v>74</v>
      </c>
      <c r="V95" t="s">
        <v>3264</v>
      </c>
      <c r="W95" s="1" t="s">
        <v>74</v>
      </c>
      <c r="X95" t="s">
        <v>1096</v>
      </c>
      <c r="Y95" t="s">
        <v>1097</v>
      </c>
      <c r="Z95" t="s">
        <v>74</v>
      </c>
      <c r="AA95" t="s">
        <v>74</v>
      </c>
      <c r="AB95" t="s">
        <v>74</v>
      </c>
      <c r="AC95" t="s">
        <v>74</v>
      </c>
      <c r="AD95" t="s">
        <v>74</v>
      </c>
      <c r="AE95" t="s">
        <v>74</v>
      </c>
      <c r="AF95" t="s">
        <v>74</v>
      </c>
      <c r="AG95" t="s">
        <v>74</v>
      </c>
      <c r="AH95">
        <v>15</v>
      </c>
      <c r="AI95">
        <v>8</v>
      </c>
      <c r="AJ95">
        <v>9</v>
      </c>
      <c r="AK95">
        <v>0</v>
      </c>
      <c r="AL95">
        <v>0</v>
      </c>
      <c r="AM95" t="s">
        <v>1098</v>
      </c>
      <c r="AN95" t="s">
        <v>1099</v>
      </c>
      <c r="AO95" t="s">
        <v>1100</v>
      </c>
      <c r="AP95" t="s">
        <v>1101</v>
      </c>
      <c r="AQ95" t="s">
        <v>74</v>
      </c>
      <c r="AR95" t="s">
        <v>74</v>
      </c>
      <c r="AS95" t="s">
        <v>1102</v>
      </c>
      <c r="AT95" t="s">
        <v>1103</v>
      </c>
      <c r="AU95" t="s">
        <v>74</v>
      </c>
      <c r="AV95">
        <v>1973</v>
      </c>
      <c r="AW95">
        <v>20</v>
      </c>
      <c r="AX95" t="s">
        <v>155</v>
      </c>
      <c r="AY95" t="s">
        <v>74</v>
      </c>
      <c r="AZ95" t="s">
        <v>74</v>
      </c>
      <c r="BA95" t="s">
        <v>74</v>
      </c>
      <c r="BB95" t="s">
        <v>74</v>
      </c>
      <c r="BC95">
        <v>395</v>
      </c>
      <c r="BD95">
        <v>400</v>
      </c>
      <c r="BE95" t="s">
        <v>74</v>
      </c>
      <c r="BF95" t="s">
        <v>1104</v>
      </c>
      <c r="BG95" t="s">
        <v>3167</v>
      </c>
      <c r="BH95" t="s">
        <v>74</v>
      </c>
      <c r="BI95" t="s">
        <v>74</v>
      </c>
      <c r="BJ95">
        <v>6</v>
      </c>
      <c r="BK95" t="s">
        <v>1105</v>
      </c>
      <c r="BL95" t="s">
        <v>1041</v>
      </c>
      <c r="BM95" t="s">
        <v>1105</v>
      </c>
      <c r="BN95" t="s">
        <v>1106</v>
      </c>
      <c r="BO95">
        <v>4126713</v>
      </c>
      <c r="BP95" t="s">
        <v>74</v>
      </c>
      <c r="BQ95" t="s">
        <v>74</v>
      </c>
      <c r="BR95" t="s">
        <v>74</v>
      </c>
      <c r="BS95" t="s">
        <v>86</v>
      </c>
      <c r="BT95" t="s">
        <v>1107</v>
      </c>
      <c r="BU95" t="s">
        <v>3164</v>
      </c>
    </row>
    <row r="96" spans="1:73" ht="17" x14ac:dyDescent="0.2">
      <c r="A96" t="s">
        <v>72</v>
      </c>
      <c r="B96" t="s">
        <v>1108</v>
      </c>
      <c r="C96" t="s">
        <v>74</v>
      </c>
      <c r="D96" t="s">
        <v>74</v>
      </c>
      <c r="E96" t="s">
        <v>74</v>
      </c>
      <c r="F96" t="s">
        <v>1108</v>
      </c>
      <c r="G96" t="s">
        <v>74</v>
      </c>
      <c r="H96" t="s">
        <v>74</v>
      </c>
      <c r="I96" t="s">
        <v>1109</v>
      </c>
      <c r="J96" t="s">
        <v>1110</v>
      </c>
      <c r="K96" t="s">
        <v>74</v>
      </c>
      <c r="L96" t="s">
        <v>74</v>
      </c>
      <c r="M96" t="s">
        <v>1025</v>
      </c>
      <c r="N96" t="s">
        <v>52</v>
      </c>
      <c r="O96" t="s">
        <v>74</v>
      </c>
      <c r="P96" t="s">
        <v>74</v>
      </c>
      <c r="Q96" t="s">
        <v>74</v>
      </c>
      <c r="R96" t="s">
        <v>74</v>
      </c>
      <c r="S96" t="s">
        <v>74</v>
      </c>
      <c r="T96" t="s">
        <v>74</v>
      </c>
      <c r="U96" t="s">
        <v>74</v>
      </c>
      <c r="V96" t="s">
        <v>3264</v>
      </c>
      <c r="W96" s="1" t="s">
        <v>74</v>
      </c>
      <c r="X96" t="s">
        <v>1111</v>
      </c>
      <c r="Y96" t="s">
        <v>1112</v>
      </c>
      <c r="Z96" t="s">
        <v>74</v>
      </c>
      <c r="AA96" t="s">
        <v>74</v>
      </c>
      <c r="AB96" t="s">
        <v>74</v>
      </c>
      <c r="AC96" t="s">
        <v>74</v>
      </c>
      <c r="AD96" t="s">
        <v>74</v>
      </c>
      <c r="AE96" t="s">
        <v>74</v>
      </c>
      <c r="AF96" t="s">
        <v>74</v>
      </c>
      <c r="AG96" t="s">
        <v>74</v>
      </c>
      <c r="AH96">
        <v>0</v>
      </c>
      <c r="AI96">
        <v>4</v>
      </c>
      <c r="AJ96">
        <v>5</v>
      </c>
      <c r="AK96">
        <v>0</v>
      </c>
      <c r="AL96">
        <v>0</v>
      </c>
      <c r="AM96" t="s">
        <v>1113</v>
      </c>
      <c r="AN96" t="s">
        <v>1114</v>
      </c>
      <c r="AO96" t="s">
        <v>1115</v>
      </c>
      <c r="AP96" t="s">
        <v>1116</v>
      </c>
      <c r="AQ96" t="s">
        <v>74</v>
      </c>
      <c r="AR96" t="s">
        <v>74</v>
      </c>
      <c r="AS96" t="s">
        <v>1117</v>
      </c>
      <c r="AT96" t="s">
        <v>74</v>
      </c>
      <c r="AU96" t="s">
        <v>74</v>
      </c>
      <c r="AV96">
        <v>1977</v>
      </c>
      <c r="AW96">
        <v>10</v>
      </c>
      <c r="AX96">
        <v>4</v>
      </c>
      <c r="AY96" t="s">
        <v>74</v>
      </c>
      <c r="AZ96" t="s">
        <v>74</v>
      </c>
      <c r="BA96" t="s">
        <v>74</v>
      </c>
      <c r="BB96" t="s">
        <v>74</v>
      </c>
      <c r="BC96">
        <v>254</v>
      </c>
      <c r="BD96">
        <v>254</v>
      </c>
      <c r="BE96" t="s">
        <v>74</v>
      </c>
      <c r="BF96" t="s">
        <v>74</v>
      </c>
      <c r="BG96" t="s">
        <v>74</v>
      </c>
      <c r="BH96" t="s">
        <v>74</v>
      </c>
      <c r="BI96" t="s">
        <v>74</v>
      </c>
      <c r="BJ96">
        <v>1</v>
      </c>
      <c r="BK96" t="s">
        <v>1118</v>
      </c>
      <c r="BL96" t="s">
        <v>1119</v>
      </c>
      <c r="BM96" t="s">
        <v>1120</v>
      </c>
      <c r="BN96" t="s">
        <v>1121</v>
      </c>
      <c r="BO96" t="s">
        <v>74</v>
      </c>
      <c r="BP96" t="s">
        <v>74</v>
      </c>
      <c r="BQ96" t="s">
        <v>74</v>
      </c>
      <c r="BR96" t="s">
        <v>74</v>
      </c>
      <c r="BS96" t="s">
        <v>86</v>
      </c>
      <c r="BT96" t="s">
        <v>1122</v>
      </c>
      <c r="BU96" t="s">
        <v>3164</v>
      </c>
    </row>
    <row r="97" spans="1:73" ht="17" x14ac:dyDescent="0.2">
      <c r="A97" t="s">
        <v>72</v>
      </c>
      <c r="B97" t="s">
        <v>1123</v>
      </c>
      <c r="C97" t="s">
        <v>74</v>
      </c>
      <c r="D97" t="s">
        <v>74</v>
      </c>
      <c r="E97" t="s">
        <v>74</v>
      </c>
      <c r="F97" t="s">
        <v>1123</v>
      </c>
      <c r="G97" t="s">
        <v>74</v>
      </c>
      <c r="H97" t="s">
        <v>74</v>
      </c>
      <c r="I97" t="s">
        <v>1124</v>
      </c>
      <c r="J97" t="s">
        <v>1125</v>
      </c>
      <c r="K97" t="s">
        <v>74</v>
      </c>
      <c r="L97" t="s">
        <v>74</v>
      </c>
      <c r="M97" t="s">
        <v>1025</v>
      </c>
      <c r="N97" t="s">
        <v>52</v>
      </c>
      <c r="O97" t="s">
        <v>74</v>
      </c>
      <c r="P97" t="s">
        <v>74</v>
      </c>
      <c r="Q97" t="s">
        <v>74</v>
      </c>
      <c r="R97" t="s">
        <v>74</v>
      </c>
      <c r="S97" t="s">
        <v>74</v>
      </c>
      <c r="T97" t="s">
        <v>74</v>
      </c>
      <c r="U97" t="s">
        <v>74</v>
      </c>
      <c r="V97" t="s">
        <v>3264</v>
      </c>
      <c r="W97" s="1" t="s">
        <v>74</v>
      </c>
      <c r="X97" t="s">
        <v>1126</v>
      </c>
      <c r="Y97" t="s">
        <v>1127</v>
      </c>
      <c r="Z97" t="s">
        <v>74</v>
      </c>
      <c r="AA97" t="s">
        <v>74</v>
      </c>
      <c r="AB97" t="s">
        <v>74</v>
      </c>
      <c r="AC97" t="s">
        <v>74</v>
      </c>
      <c r="AD97" t="s">
        <v>74</v>
      </c>
      <c r="AE97" t="s">
        <v>74</v>
      </c>
      <c r="AF97" t="s">
        <v>74</v>
      </c>
      <c r="AG97" t="s">
        <v>74</v>
      </c>
      <c r="AH97">
        <v>1</v>
      </c>
      <c r="AI97">
        <v>0</v>
      </c>
      <c r="AJ97">
        <v>0</v>
      </c>
      <c r="AK97">
        <v>0</v>
      </c>
      <c r="AL97">
        <v>0</v>
      </c>
      <c r="AM97" t="s">
        <v>1128</v>
      </c>
      <c r="AN97" t="s">
        <v>1129</v>
      </c>
      <c r="AO97" t="s">
        <v>1130</v>
      </c>
      <c r="AP97" t="s">
        <v>74</v>
      </c>
      <c r="AQ97" t="s">
        <v>74</v>
      </c>
      <c r="AR97" t="s">
        <v>74</v>
      </c>
      <c r="AS97" t="s">
        <v>1131</v>
      </c>
      <c r="AT97" t="s">
        <v>1132</v>
      </c>
      <c r="AU97" t="s">
        <v>279</v>
      </c>
      <c r="AV97">
        <v>1987</v>
      </c>
      <c r="AW97">
        <v>218</v>
      </c>
      <c r="AX97">
        <v>1</v>
      </c>
      <c r="AY97" t="s">
        <v>74</v>
      </c>
      <c r="AZ97" t="s">
        <v>74</v>
      </c>
      <c r="BA97" t="s">
        <v>74</v>
      </c>
      <c r="BB97" t="s">
        <v>74</v>
      </c>
      <c r="BC97" t="s">
        <v>1133</v>
      </c>
      <c r="BD97" t="s">
        <v>1133</v>
      </c>
      <c r="BE97" t="s">
        <v>74</v>
      </c>
      <c r="BF97" t="s">
        <v>74</v>
      </c>
      <c r="BG97" t="s">
        <v>74</v>
      </c>
      <c r="BH97" t="s">
        <v>74</v>
      </c>
      <c r="BI97" t="s">
        <v>74</v>
      </c>
      <c r="BJ97">
        <v>1</v>
      </c>
      <c r="BK97" t="s">
        <v>1134</v>
      </c>
      <c r="BL97" t="s">
        <v>1041</v>
      </c>
      <c r="BM97" t="s">
        <v>1134</v>
      </c>
      <c r="BN97" t="s">
        <v>1135</v>
      </c>
      <c r="BO97" t="s">
        <v>74</v>
      </c>
      <c r="BP97" t="s">
        <v>74</v>
      </c>
      <c r="BQ97" t="s">
        <v>74</v>
      </c>
      <c r="BR97" t="s">
        <v>74</v>
      </c>
      <c r="BS97" t="s">
        <v>86</v>
      </c>
      <c r="BT97" t="s">
        <v>1136</v>
      </c>
      <c r="BU97" t="s">
        <v>3164</v>
      </c>
    </row>
    <row r="98" spans="1:73" ht="204" x14ac:dyDescent="0.2">
      <c r="A98" t="s">
        <v>72</v>
      </c>
      <c r="B98" t="s">
        <v>1137</v>
      </c>
      <c r="C98" t="s">
        <v>74</v>
      </c>
      <c r="D98" t="s">
        <v>74</v>
      </c>
      <c r="E98" t="s">
        <v>74</v>
      </c>
      <c r="F98" t="s">
        <v>1138</v>
      </c>
      <c r="G98" t="s">
        <v>74</v>
      </c>
      <c r="H98" t="s">
        <v>74</v>
      </c>
      <c r="I98" t="s">
        <v>1139</v>
      </c>
      <c r="J98" t="s">
        <v>1140</v>
      </c>
      <c r="K98" t="s">
        <v>74</v>
      </c>
      <c r="L98" t="s">
        <v>74</v>
      </c>
      <c r="M98" t="s">
        <v>1025</v>
      </c>
      <c r="N98" t="s">
        <v>78</v>
      </c>
      <c r="O98" t="s">
        <v>74</v>
      </c>
      <c r="P98" t="s">
        <v>74</v>
      </c>
      <c r="Q98" t="s">
        <v>74</v>
      </c>
      <c r="R98" t="s">
        <v>74</v>
      </c>
      <c r="S98" t="s">
        <v>74</v>
      </c>
      <c r="T98" t="s">
        <v>1141</v>
      </c>
      <c r="U98" t="s">
        <v>1142</v>
      </c>
      <c r="V98" t="s">
        <v>3264</v>
      </c>
      <c r="W98" s="1" t="s">
        <v>1143</v>
      </c>
      <c r="X98" t="s">
        <v>1144</v>
      </c>
      <c r="Y98" t="s">
        <v>1145</v>
      </c>
      <c r="Z98" t="s">
        <v>1146</v>
      </c>
      <c r="AA98" t="s">
        <v>1147</v>
      </c>
      <c r="AB98" t="s">
        <v>1148</v>
      </c>
      <c r="AC98" t="s">
        <v>1149</v>
      </c>
      <c r="AD98" t="s">
        <v>1150</v>
      </c>
      <c r="AE98" t="s">
        <v>1151</v>
      </c>
      <c r="AF98" t="s">
        <v>1152</v>
      </c>
      <c r="AG98" t="s">
        <v>74</v>
      </c>
      <c r="AH98">
        <v>42</v>
      </c>
      <c r="AI98">
        <v>20</v>
      </c>
      <c r="AJ98">
        <v>20</v>
      </c>
      <c r="AK98">
        <v>0</v>
      </c>
      <c r="AL98">
        <v>11</v>
      </c>
      <c r="AM98" t="s">
        <v>1153</v>
      </c>
      <c r="AN98" t="s">
        <v>1129</v>
      </c>
      <c r="AO98" t="s">
        <v>1154</v>
      </c>
      <c r="AP98" t="s">
        <v>1155</v>
      </c>
      <c r="AQ98" t="s">
        <v>1156</v>
      </c>
      <c r="AR98" t="s">
        <v>74</v>
      </c>
      <c r="AS98" t="s">
        <v>1157</v>
      </c>
      <c r="AT98" t="s">
        <v>1158</v>
      </c>
      <c r="AU98" t="s">
        <v>372</v>
      </c>
      <c r="AV98">
        <v>2022</v>
      </c>
      <c r="AW98">
        <v>24</v>
      </c>
      <c r="AX98">
        <v>5</v>
      </c>
      <c r="AY98" t="s">
        <v>74</v>
      </c>
      <c r="AZ98" t="s">
        <v>74</v>
      </c>
      <c r="BA98" t="s">
        <v>74</v>
      </c>
      <c r="BB98" t="s">
        <v>74</v>
      </c>
      <c r="BC98">
        <v>521</v>
      </c>
      <c r="BD98">
        <v>529</v>
      </c>
      <c r="BE98" t="s">
        <v>74</v>
      </c>
      <c r="BF98" t="s">
        <v>1159</v>
      </c>
      <c r="BG98" t="s">
        <v>3168</v>
      </c>
      <c r="BH98" t="s">
        <v>74</v>
      </c>
      <c r="BI98" t="s">
        <v>1160</v>
      </c>
      <c r="BJ98">
        <v>9</v>
      </c>
      <c r="BK98" t="s">
        <v>1161</v>
      </c>
      <c r="BL98" t="s">
        <v>1041</v>
      </c>
      <c r="BM98" t="s">
        <v>1162</v>
      </c>
      <c r="BN98" t="s">
        <v>1163</v>
      </c>
      <c r="BO98">
        <v>34825444</v>
      </c>
      <c r="BP98" t="s">
        <v>1164</v>
      </c>
      <c r="BQ98" t="s">
        <v>74</v>
      </c>
      <c r="BR98" t="s">
        <v>74</v>
      </c>
      <c r="BS98" t="s">
        <v>86</v>
      </c>
      <c r="BT98" t="s">
        <v>1165</v>
      </c>
      <c r="BU98" t="s">
        <v>3164</v>
      </c>
    </row>
    <row r="99" spans="1:73" ht="17" x14ac:dyDescent="0.2">
      <c r="A99" t="s">
        <v>72</v>
      </c>
      <c r="B99" t="s">
        <v>1166</v>
      </c>
      <c r="C99" t="s">
        <v>74</v>
      </c>
      <c r="D99" t="s">
        <v>74</v>
      </c>
      <c r="E99" t="s">
        <v>74</v>
      </c>
      <c r="F99" t="s">
        <v>1167</v>
      </c>
      <c r="G99" t="s">
        <v>74</v>
      </c>
      <c r="H99" t="s">
        <v>74</v>
      </c>
      <c r="I99" t="s">
        <v>1168</v>
      </c>
      <c r="J99" t="s">
        <v>1169</v>
      </c>
      <c r="K99" t="s">
        <v>74</v>
      </c>
      <c r="L99" t="s">
        <v>74</v>
      </c>
      <c r="M99" t="s">
        <v>1025</v>
      </c>
      <c r="N99" t="s">
        <v>52</v>
      </c>
      <c r="O99" t="s">
        <v>1170</v>
      </c>
      <c r="P99" t="s">
        <v>1171</v>
      </c>
      <c r="Q99" t="s">
        <v>1172</v>
      </c>
      <c r="R99" t="s">
        <v>1173</v>
      </c>
      <c r="S99" t="s">
        <v>74</v>
      </c>
      <c r="T99" t="s">
        <v>74</v>
      </c>
      <c r="U99" t="s">
        <v>74</v>
      </c>
      <c r="V99" t="s">
        <v>3264</v>
      </c>
      <c r="W99" s="1" t="s">
        <v>74</v>
      </c>
      <c r="X99" t="s">
        <v>1174</v>
      </c>
      <c r="Y99" t="s">
        <v>1175</v>
      </c>
      <c r="Z99" t="s">
        <v>74</v>
      </c>
      <c r="AA99" t="s">
        <v>74</v>
      </c>
      <c r="AB99" t="s">
        <v>74</v>
      </c>
      <c r="AC99" t="s">
        <v>74</v>
      </c>
      <c r="AD99" t="s">
        <v>74</v>
      </c>
      <c r="AE99" t="s">
        <v>74</v>
      </c>
      <c r="AF99" t="s">
        <v>74</v>
      </c>
      <c r="AG99" t="s">
        <v>74</v>
      </c>
      <c r="AH99">
        <v>0</v>
      </c>
      <c r="AI99">
        <v>0</v>
      </c>
      <c r="AJ99">
        <v>0</v>
      </c>
      <c r="AK99">
        <v>0</v>
      </c>
      <c r="AL99">
        <v>2</v>
      </c>
      <c r="AM99" t="s">
        <v>1176</v>
      </c>
      <c r="AN99" t="s">
        <v>1177</v>
      </c>
      <c r="AO99" t="s">
        <v>1178</v>
      </c>
      <c r="AP99" t="s">
        <v>1179</v>
      </c>
      <c r="AQ99" t="s">
        <v>1180</v>
      </c>
      <c r="AR99" t="s">
        <v>74</v>
      </c>
      <c r="AS99" t="s">
        <v>1181</v>
      </c>
      <c r="AT99" t="s">
        <v>1182</v>
      </c>
      <c r="AU99" t="s">
        <v>190</v>
      </c>
      <c r="AV99">
        <v>2020</v>
      </c>
      <c r="AW99">
        <v>68</v>
      </c>
      <c r="AX99">
        <v>5</v>
      </c>
      <c r="AY99" t="s">
        <v>74</v>
      </c>
      <c r="AZ99" t="s">
        <v>74</v>
      </c>
      <c r="BA99" t="s">
        <v>74</v>
      </c>
      <c r="BB99" t="s">
        <v>1183</v>
      </c>
      <c r="BC99">
        <v>1108</v>
      </c>
      <c r="BD99">
        <v>1108</v>
      </c>
      <c r="BE99" t="s">
        <v>74</v>
      </c>
      <c r="BF99" t="s">
        <v>1184</v>
      </c>
      <c r="BG99" t="s">
        <v>3169</v>
      </c>
      <c r="BH99" t="s">
        <v>74</v>
      </c>
      <c r="BI99" t="s">
        <v>74</v>
      </c>
      <c r="BJ99">
        <v>1</v>
      </c>
      <c r="BK99" t="s">
        <v>1185</v>
      </c>
      <c r="BL99" t="s">
        <v>1186</v>
      </c>
      <c r="BM99" t="s">
        <v>1187</v>
      </c>
      <c r="BN99" t="s">
        <v>1188</v>
      </c>
      <c r="BO99" t="s">
        <v>74</v>
      </c>
      <c r="BP99" t="s">
        <v>74</v>
      </c>
      <c r="BQ99" t="s">
        <v>74</v>
      </c>
      <c r="BR99" t="s">
        <v>74</v>
      </c>
      <c r="BS99" t="s">
        <v>86</v>
      </c>
      <c r="BT99" t="s">
        <v>1189</v>
      </c>
      <c r="BU99" t="s">
        <v>3164</v>
      </c>
    </row>
    <row r="100" spans="1:73" ht="136" x14ac:dyDescent="0.2">
      <c r="A100" t="s">
        <v>72</v>
      </c>
      <c r="B100" t="s">
        <v>112</v>
      </c>
      <c r="C100" t="s">
        <v>74</v>
      </c>
      <c r="D100" t="s">
        <v>74</v>
      </c>
      <c r="E100" t="s">
        <v>74</v>
      </c>
      <c r="F100" t="s">
        <v>113</v>
      </c>
      <c r="G100" t="s">
        <v>74</v>
      </c>
      <c r="H100" t="s">
        <v>74</v>
      </c>
      <c r="I100" t="s">
        <v>114</v>
      </c>
      <c r="J100" t="s">
        <v>115</v>
      </c>
      <c r="K100" t="s">
        <v>74</v>
      </c>
      <c r="L100" t="s">
        <v>74</v>
      </c>
      <c r="M100" t="s">
        <v>1025</v>
      </c>
      <c r="N100" t="s">
        <v>78</v>
      </c>
      <c r="O100" t="s">
        <v>74</v>
      </c>
      <c r="P100" t="s">
        <v>74</v>
      </c>
      <c r="Q100" t="s">
        <v>74</v>
      </c>
      <c r="R100" t="s">
        <v>74</v>
      </c>
      <c r="S100" t="s">
        <v>74</v>
      </c>
      <c r="T100" t="s">
        <v>1190</v>
      </c>
      <c r="U100" t="s">
        <v>1191</v>
      </c>
      <c r="V100" t="b">
        <v>1</v>
      </c>
      <c r="W100" s="1" t="s">
        <v>116</v>
      </c>
      <c r="X100" t="s">
        <v>117</v>
      </c>
      <c r="Y100" t="s">
        <v>1192</v>
      </c>
      <c r="Z100" t="s">
        <v>118</v>
      </c>
      <c r="AA100" t="s">
        <v>119</v>
      </c>
      <c r="AB100" t="s">
        <v>1193</v>
      </c>
      <c r="AC100" t="s">
        <v>1194</v>
      </c>
      <c r="AD100" t="s">
        <v>1195</v>
      </c>
      <c r="AE100" t="s">
        <v>1196</v>
      </c>
      <c r="AF100" t="s">
        <v>1197</v>
      </c>
      <c r="AG100" t="s">
        <v>74</v>
      </c>
      <c r="AH100">
        <v>73</v>
      </c>
      <c r="AI100">
        <v>43</v>
      </c>
      <c r="AJ100">
        <v>48</v>
      </c>
      <c r="AK100">
        <v>43</v>
      </c>
      <c r="AL100">
        <v>182</v>
      </c>
      <c r="AM100" t="s">
        <v>1198</v>
      </c>
      <c r="AN100" t="s">
        <v>1199</v>
      </c>
      <c r="AO100" t="s">
        <v>1200</v>
      </c>
      <c r="AP100" t="s">
        <v>1201</v>
      </c>
      <c r="AQ100" t="s">
        <v>1202</v>
      </c>
      <c r="AR100" t="s">
        <v>74</v>
      </c>
      <c r="AS100" t="s">
        <v>1203</v>
      </c>
      <c r="AT100" t="s">
        <v>1204</v>
      </c>
      <c r="AU100" t="s">
        <v>120</v>
      </c>
      <c r="AV100">
        <v>2024</v>
      </c>
      <c r="AW100">
        <v>188</v>
      </c>
      <c r="AX100" t="s">
        <v>74</v>
      </c>
      <c r="AY100" t="s">
        <v>74</v>
      </c>
      <c r="AZ100" t="s">
        <v>74</v>
      </c>
      <c r="BA100" t="s">
        <v>74</v>
      </c>
      <c r="BB100" t="s">
        <v>74</v>
      </c>
      <c r="BC100" t="s">
        <v>74</v>
      </c>
      <c r="BD100" t="s">
        <v>74</v>
      </c>
      <c r="BE100">
        <v>109919</v>
      </c>
      <c r="BF100" t="s">
        <v>121</v>
      </c>
      <c r="BG100" t="s">
        <v>3170</v>
      </c>
      <c r="BH100" t="s">
        <v>74</v>
      </c>
      <c r="BI100" t="s">
        <v>122</v>
      </c>
      <c r="BJ100">
        <v>17</v>
      </c>
      <c r="BK100" t="s">
        <v>1205</v>
      </c>
      <c r="BL100" t="s">
        <v>1041</v>
      </c>
      <c r="BM100" t="s">
        <v>1206</v>
      </c>
      <c r="BN100" t="s">
        <v>1207</v>
      </c>
      <c r="BO100" t="s">
        <v>74</v>
      </c>
      <c r="BP100" t="s">
        <v>1208</v>
      </c>
      <c r="BQ100" t="s">
        <v>74</v>
      </c>
      <c r="BR100" t="s">
        <v>74</v>
      </c>
      <c r="BS100" t="s">
        <v>86</v>
      </c>
      <c r="BT100" t="s">
        <v>123</v>
      </c>
      <c r="BU100" t="s">
        <v>3164</v>
      </c>
    </row>
    <row r="101" spans="1:73" ht="17" x14ac:dyDescent="0.2">
      <c r="A101" t="s">
        <v>72</v>
      </c>
      <c r="B101" t="s">
        <v>1209</v>
      </c>
      <c r="C101" t="s">
        <v>74</v>
      </c>
      <c r="D101" t="s">
        <v>74</v>
      </c>
      <c r="E101" t="s">
        <v>74</v>
      </c>
      <c r="F101" t="s">
        <v>1209</v>
      </c>
      <c r="G101" t="s">
        <v>74</v>
      </c>
      <c r="H101" t="s">
        <v>74</v>
      </c>
      <c r="I101" t="s">
        <v>1210</v>
      </c>
      <c r="J101" t="s">
        <v>1211</v>
      </c>
      <c r="K101" t="s">
        <v>74</v>
      </c>
      <c r="L101" t="s">
        <v>74</v>
      </c>
      <c r="M101" t="s">
        <v>1025</v>
      </c>
      <c r="N101" t="s">
        <v>52</v>
      </c>
      <c r="O101" t="s">
        <v>74</v>
      </c>
      <c r="P101" t="s">
        <v>74</v>
      </c>
      <c r="Q101" t="s">
        <v>74</v>
      </c>
      <c r="R101" t="s">
        <v>74</v>
      </c>
      <c r="S101" t="s">
        <v>74</v>
      </c>
      <c r="T101" t="s">
        <v>74</v>
      </c>
      <c r="U101" t="s">
        <v>74</v>
      </c>
      <c r="V101" t="s">
        <v>3264</v>
      </c>
      <c r="W101" s="1" t="s">
        <v>74</v>
      </c>
      <c r="X101" t="s">
        <v>1212</v>
      </c>
      <c r="Y101" t="s">
        <v>1213</v>
      </c>
      <c r="Z101" t="s">
        <v>74</v>
      </c>
      <c r="AA101" t="s">
        <v>74</v>
      </c>
      <c r="AB101" t="s">
        <v>74</v>
      </c>
      <c r="AC101" t="s">
        <v>74</v>
      </c>
      <c r="AD101" t="s">
        <v>74</v>
      </c>
      <c r="AE101" t="s">
        <v>74</v>
      </c>
      <c r="AF101" t="s">
        <v>74</v>
      </c>
      <c r="AG101" t="s">
        <v>74</v>
      </c>
      <c r="AH101">
        <v>3</v>
      </c>
      <c r="AI101">
        <v>0</v>
      </c>
      <c r="AJ101">
        <v>0</v>
      </c>
      <c r="AK101">
        <v>0</v>
      </c>
      <c r="AL101">
        <v>0</v>
      </c>
      <c r="AM101" t="s">
        <v>1214</v>
      </c>
      <c r="AN101" t="s">
        <v>1215</v>
      </c>
      <c r="AO101" t="s">
        <v>1216</v>
      </c>
      <c r="AP101" t="s">
        <v>1217</v>
      </c>
      <c r="AQ101" t="s">
        <v>74</v>
      </c>
      <c r="AR101" t="s">
        <v>74</v>
      </c>
      <c r="AS101" t="s">
        <v>1218</v>
      </c>
      <c r="AT101" t="s">
        <v>1219</v>
      </c>
      <c r="AU101" t="s">
        <v>425</v>
      </c>
      <c r="AV101">
        <v>1993</v>
      </c>
      <c r="AW101">
        <v>110</v>
      </c>
      <c r="AX101" t="s">
        <v>74</v>
      </c>
      <c r="AY101" t="s">
        <v>74</v>
      </c>
      <c r="AZ101" t="s">
        <v>1220</v>
      </c>
      <c r="BA101" t="s">
        <v>74</v>
      </c>
      <c r="BB101" t="s">
        <v>74</v>
      </c>
      <c r="BC101" t="s">
        <v>1221</v>
      </c>
      <c r="BD101" t="s">
        <v>1221</v>
      </c>
      <c r="BE101" t="s">
        <v>74</v>
      </c>
      <c r="BF101" t="s">
        <v>74</v>
      </c>
      <c r="BG101" t="s">
        <v>74</v>
      </c>
      <c r="BH101" t="s">
        <v>74</v>
      </c>
      <c r="BI101" t="s">
        <v>74</v>
      </c>
      <c r="BJ101">
        <v>1</v>
      </c>
      <c r="BK101" t="s">
        <v>1089</v>
      </c>
      <c r="BL101" t="s">
        <v>1041</v>
      </c>
      <c r="BM101" t="s">
        <v>1089</v>
      </c>
      <c r="BN101" t="s">
        <v>1222</v>
      </c>
      <c r="BO101" t="s">
        <v>74</v>
      </c>
      <c r="BP101" t="s">
        <v>74</v>
      </c>
      <c r="BQ101" t="s">
        <v>74</v>
      </c>
      <c r="BR101" t="s">
        <v>74</v>
      </c>
      <c r="BS101" t="s">
        <v>86</v>
      </c>
      <c r="BT101" t="s">
        <v>1223</v>
      </c>
      <c r="BU101" t="s">
        <v>3164</v>
      </c>
    </row>
    <row r="102" spans="1:73" ht="136" x14ac:dyDescent="0.2">
      <c r="A102" t="s">
        <v>72</v>
      </c>
      <c r="B102" t="s">
        <v>1224</v>
      </c>
      <c r="C102" t="s">
        <v>74</v>
      </c>
      <c r="D102" t="s">
        <v>74</v>
      </c>
      <c r="E102" t="s">
        <v>74</v>
      </c>
      <c r="F102" t="s">
        <v>1225</v>
      </c>
      <c r="G102" t="s">
        <v>74</v>
      </c>
      <c r="H102" t="s">
        <v>74</v>
      </c>
      <c r="I102" t="s">
        <v>1226</v>
      </c>
      <c r="J102" t="s">
        <v>1227</v>
      </c>
      <c r="K102" t="s">
        <v>74</v>
      </c>
      <c r="L102" t="s">
        <v>74</v>
      </c>
      <c r="M102" t="s">
        <v>1025</v>
      </c>
      <c r="N102" t="s">
        <v>78</v>
      </c>
      <c r="O102" t="s">
        <v>74</v>
      </c>
      <c r="P102" t="s">
        <v>74</v>
      </c>
      <c r="Q102" t="s">
        <v>74</v>
      </c>
      <c r="R102" t="s">
        <v>74</v>
      </c>
      <c r="S102" t="s">
        <v>74</v>
      </c>
      <c r="T102" t="s">
        <v>1228</v>
      </c>
      <c r="U102" t="s">
        <v>1229</v>
      </c>
      <c r="V102" t="b">
        <v>0</v>
      </c>
      <c r="W102" s="1" t="s">
        <v>1230</v>
      </c>
      <c r="X102" t="s">
        <v>1231</v>
      </c>
      <c r="Y102" t="s">
        <v>1232</v>
      </c>
      <c r="Z102" t="s">
        <v>1233</v>
      </c>
      <c r="AA102" t="s">
        <v>1234</v>
      </c>
      <c r="AB102" t="s">
        <v>1235</v>
      </c>
      <c r="AC102" t="s">
        <v>1236</v>
      </c>
      <c r="AD102" t="s">
        <v>1237</v>
      </c>
      <c r="AE102" t="s">
        <v>1238</v>
      </c>
      <c r="AF102" t="s">
        <v>1239</v>
      </c>
      <c r="AG102" t="s">
        <v>74</v>
      </c>
      <c r="AH102">
        <v>32</v>
      </c>
      <c r="AI102">
        <v>26</v>
      </c>
      <c r="AJ102">
        <v>30</v>
      </c>
      <c r="AK102">
        <v>0</v>
      </c>
      <c r="AL102">
        <v>4</v>
      </c>
      <c r="AM102" t="s">
        <v>1240</v>
      </c>
      <c r="AN102" t="s">
        <v>1241</v>
      </c>
      <c r="AO102" t="s">
        <v>1242</v>
      </c>
      <c r="AP102" t="s">
        <v>1243</v>
      </c>
      <c r="AQ102" t="s">
        <v>74</v>
      </c>
      <c r="AR102" t="s">
        <v>74</v>
      </c>
      <c r="AS102" t="s">
        <v>1244</v>
      </c>
      <c r="AT102" t="s">
        <v>1245</v>
      </c>
      <c r="AU102" t="s">
        <v>74</v>
      </c>
      <c r="AV102">
        <v>2017</v>
      </c>
      <c r="AW102">
        <v>9</v>
      </c>
      <c r="AX102">
        <v>3</v>
      </c>
      <c r="AY102" t="s">
        <v>74</v>
      </c>
      <c r="AZ102" t="s">
        <v>74</v>
      </c>
      <c r="BA102" t="s">
        <v>74</v>
      </c>
      <c r="BB102" t="s">
        <v>74</v>
      </c>
      <c r="BC102">
        <v>1012</v>
      </c>
      <c r="BD102">
        <v>1024</v>
      </c>
      <c r="BE102" t="s">
        <v>74</v>
      </c>
      <c r="BF102" t="s">
        <v>74</v>
      </c>
      <c r="BG102" t="s">
        <v>74</v>
      </c>
      <c r="BH102" t="s">
        <v>74</v>
      </c>
      <c r="BI102" t="s">
        <v>74</v>
      </c>
      <c r="BJ102">
        <v>13</v>
      </c>
      <c r="BK102" t="s">
        <v>1246</v>
      </c>
      <c r="BL102" t="s">
        <v>1041</v>
      </c>
      <c r="BM102" t="s">
        <v>1247</v>
      </c>
      <c r="BN102" t="s">
        <v>1248</v>
      </c>
      <c r="BO102">
        <v>28386329</v>
      </c>
      <c r="BP102" t="s">
        <v>74</v>
      </c>
      <c r="BQ102" t="s">
        <v>74</v>
      </c>
      <c r="BR102" t="s">
        <v>74</v>
      </c>
      <c r="BS102" t="s">
        <v>86</v>
      </c>
      <c r="BT102" t="s">
        <v>1249</v>
      </c>
      <c r="BU102" t="s">
        <v>3164</v>
      </c>
    </row>
    <row r="103" spans="1:73" ht="170" x14ac:dyDescent="0.2">
      <c r="A103" t="s">
        <v>72</v>
      </c>
      <c r="B103" t="s">
        <v>1250</v>
      </c>
      <c r="C103" t="s">
        <v>74</v>
      </c>
      <c r="D103" t="s">
        <v>74</v>
      </c>
      <c r="E103" t="s">
        <v>74</v>
      </c>
      <c r="F103" t="s">
        <v>1251</v>
      </c>
      <c r="G103" t="s">
        <v>74</v>
      </c>
      <c r="H103" t="s">
        <v>74</v>
      </c>
      <c r="I103" t="s">
        <v>1252</v>
      </c>
      <c r="J103" t="s">
        <v>1253</v>
      </c>
      <c r="K103" t="s">
        <v>74</v>
      </c>
      <c r="L103" t="s">
        <v>74</v>
      </c>
      <c r="M103" t="s">
        <v>1025</v>
      </c>
      <c r="N103" t="s">
        <v>78</v>
      </c>
      <c r="O103" t="s">
        <v>74</v>
      </c>
      <c r="P103" t="s">
        <v>74</v>
      </c>
      <c r="Q103" t="s">
        <v>74</v>
      </c>
      <c r="R103" t="s">
        <v>74</v>
      </c>
      <c r="S103" t="s">
        <v>74</v>
      </c>
      <c r="T103" t="s">
        <v>1254</v>
      </c>
      <c r="U103" t="s">
        <v>1255</v>
      </c>
      <c r="V103" t="b">
        <v>0</v>
      </c>
      <c r="W103" s="1" t="s">
        <v>1256</v>
      </c>
      <c r="X103" t="s">
        <v>1257</v>
      </c>
      <c r="Y103" t="s">
        <v>1258</v>
      </c>
      <c r="Z103" t="s">
        <v>1259</v>
      </c>
      <c r="AA103" t="s">
        <v>1260</v>
      </c>
      <c r="AB103" t="s">
        <v>1261</v>
      </c>
      <c r="AC103" t="s">
        <v>1262</v>
      </c>
      <c r="AD103" t="s">
        <v>1263</v>
      </c>
      <c r="AE103" t="s">
        <v>1264</v>
      </c>
      <c r="AF103" t="s">
        <v>1265</v>
      </c>
      <c r="AG103" t="s">
        <v>74</v>
      </c>
      <c r="AH103">
        <v>19</v>
      </c>
      <c r="AI103">
        <v>5</v>
      </c>
      <c r="AJ103">
        <v>5</v>
      </c>
      <c r="AK103">
        <v>0</v>
      </c>
      <c r="AL103">
        <v>18</v>
      </c>
      <c r="AM103" t="s">
        <v>1081</v>
      </c>
      <c r="AN103" t="s">
        <v>1034</v>
      </c>
      <c r="AO103" t="s">
        <v>1082</v>
      </c>
      <c r="AP103" t="s">
        <v>1266</v>
      </c>
      <c r="AQ103" t="s">
        <v>1267</v>
      </c>
      <c r="AR103" t="s">
        <v>74</v>
      </c>
      <c r="AS103" t="s">
        <v>1268</v>
      </c>
      <c r="AT103" t="s">
        <v>1269</v>
      </c>
      <c r="AU103" t="s">
        <v>780</v>
      </c>
      <c r="AV103">
        <v>2018</v>
      </c>
      <c r="AW103">
        <v>428</v>
      </c>
      <c r="AX103" t="s">
        <v>74</v>
      </c>
      <c r="AY103" t="s">
        <v>74</v>
      </c>
      <c r="AZ103" t="s">
        <v>74</v>
      </c>
      <c r="BA103" t="s">
        <v>74</v>
      </c>
      <c r="BB103" t="s">
        <v>74</v>
      </c>
      <c r="BC103">
        <v>124</v>
      </c>
      <c r="BD103">
        <v>130</v>
      </c>
      <c r="BE103" t="s">
        <v>74</v>
      </c>
      <c r="BF103" t="s">
        <v>1270</v>
      </c>
      <c r="BG103" t="s">
        <v>3171</v>
      </c>
      <c r="BH103" t="s">
        <v>74</v>
      </c>
      <c r="BI103" t="s">
        <v>74</v>
      </c>
      <c r="BJ103">
        <v>7</v>
      </c>
      <c r="BK103" t="s">
        <v>1271</v>
      </c>
      <c r="BL103" t="s">
        <v>1041</v>
      </c>
      <c r="BM103" t="s">
        <v>1272</v>
      </c>
      <c r="BN103" t="s">
        <v>1273</v>
      </c>
      <c r="BO103" t="s">
        <v>74</v>
      </c>
      <c r="BP103" t="s">
        <v>74</v>
      </c>
      <c r="BQ103" t="s">
        <v>74</v>
      </c>
      <c r="BR103" t="s">
        <v>74</v>
      </c>
      <c r="BS103" t="s">
        <v>86</v>
      </c>
      <c r="BT103" t="s">
        <v>1274</v>
      </c>
      <c r="BU103" t="s">
        <v>3164</v>
      </c>
    </row>
    <row r="104" spans="1:73" ht="17" x14ac:dyDescent="0.2">
      <c r="A104" t="s">
        <v>72</v>
      </c>
      <c r="B104" t="s">
        <v>1275</v>
      </c>
      <c r="C104" t="s">
        <v>74</v>
      </c>
      <c r="D104" t="s">
        <v>74</v>
      </c>
      <c r="E104" t="s">
        <v>74</v>
      </c>
      <c r="F104" t="s">
        <v>1276</v>
      </c>
      <c r="G104" t="s">
        <v>74</v>
      </c>
      <c r="H104" t="s">
        <v>74</v>
      </c>
      <c r="I104" t="s">
        <v>1277</v>
      </c>
      <c r="J104" t="s">
        <v>1278</v>
      </c>
      <c r="K104" t="s">
        <v>74</v>
      </c>
      <c r="L104" t="s">
        <v>74</v>
      </c>
      <c r="M104" t="s">
        <v>1025</v>
      </c>
      <c r="N104" t="s">
        <v>52</v>
      </c>
      <c r="O104" t="s">
        <v>74</v>
      </c>
      <c r="P104" t="s">
        <v>74</v>
      </c>
      <c r="Q104" t="s">
        <v>74</v>
      </c>
      <c r="R104" t="s">
        <v>74</v>
      </c>
      <c r="S104" t="s">
        <v>74</v>
      </c>
      <c r="T104" t="s">
        <v>74</v>
      </c>
      <c r="U104" t="s">
        <v>74</v>
      </c>
      <c r="V104" t="s">
        <v>3264</v>
      </c>
      <c r="W104" s="1" t="s">
        <v>74</v>
      </c>
      <c r="X104" t="s">
        <v>1279</v>
      </c>
      <c r="Y104" t="s">
        <v>1280</v>
      </c>
      <c r="Z104" t="s">
        <v>74</v>
      </c>
      <c r="AA104" t="s">
        <v>74</v>
      </c>
      <c r="AB104" t="s">
        <v>1281</v>
      </c>
      <c r="AC104" t="s">
        <v>74</v>
      </c>
      <c r="AD104" t="s">
        <v>74</v>
      </c>
      <c r="AE104" t="s">
        <v>74</v>
      </c>
      <c r="AF104" t="s">
        <v>74</v>
      </c>
      <c r="AG104" t="s">
        <v>74</v>
      </c>
      <c r="AH104">
        <v>0</v>
      </c>
      <c r="AI104">
        <v>0</v>
      </c>
      <c r="AJ104">
        <v>0</v>
      </c>
      <c r="AK104">
        <v>0</v>
      </c>
      <c r="AL104">
        <v>0</v>
      </c>
      <c r="AM104" t="s">
        <v>1081</v>
      </c>
      <c r="AN104" t="s">
        <v>1034</v>
      </c>
      <c r="AO104" t="s">
        <v>1082</v>
      </c>
      <c r="AP104" t="s">
        <v>1282</v>
      </c>
      <c r="AQ104" t="s">
        <v>1283</v>
      </c>
      <c r="AR104" t="s">
        <v>74</v>
      </c>
      <c r="AS104" t="s">
        <v>1284</v>
      </c>
      <c r="AT104" t="s">
        <v>1285</v>
      </c>
      <c r="AU104" t="s">
        <v>425</v>
      </c>
      <c r="AV104">
        <v>2013</v>
      </c>
      <c r="AW104">
        <v>23</v>
      </c>
      <c r="AX104" t="s">
        <v>74</v>
      </c>
      <c r="AY104" t="s">
        <v>74</v>
      </c>
      <c r="AZ104">
        <v>2</v>
      </c>
      <c r="BA104" t="s">
        <v>74</v>
      </c>
      <c r="BB104" t="s">
        <v>1286</v>
      </c>
      <c r="BC104" t="s">
        <v>1287</v>
      </c>
      <c r="BD104" t="s">
        <v>1287</v>
      </c>
      <c r="BE104" t="s">
        <v>74</v>
      </c>
      <c r="BF104" t="s">
        <v>1288</v>
      </c>
      <c r="BG104" t="s">
        <v>3172</v>
      </c>
      <c r="BH104" t="s">
        <v>74</v>
      </c>
      <c r="BI104" t="s">
        <v>74</v>
      </c>
      <c r="BJ104">
        <v>1</v>
      </c>
      <c r="BK104" t="s">
        <v>1289</v>
      </c>
      <c r="BL104" t="s">
        <v>1041</v>
      </c>
      <c r="BM104" t="s">
        <v>1290</v>
      </c>
      <c r="BN104" t="s">
        <v>1291</v>
      </c>
      <c r="BO104" t="s">
        <v>74</v>
      </c>
      <c r="BP104" t="s">
        <v>74</v>
      </c>
      <c r="BQ104" t="s">
        <v>74</v>
      </c>
      <c r="BR104" t="s">
        <v>74</v>
      </c>
      <c r="BS104" t="s">
        <v>86</v>
      </c>
      <c r="BT104" t="s">
        <v>1292</v>
      </c>
      <c r="BU104" t="s">
        <v>3164</v>
      </c>
    </row>
    <row r="105" spans="1:73" ht="17" x14ac:dyDescent="0.2">
      <c r="A105" t="s">
        <v>72</v>
      </c>
      <c r="B105" t="s">
        <v>1293</v>
      </c>
      <c r="C105" t="s">
        <v>74</v>
      </c>
      <c r="D105" t="s">
        <v>74</v>
      </c>
      <c r="E105" t="s">
        <v>74</v>
      </c>
      <c r="F105" t="s">
        <v>1293</v>
      </c>
      <c r="G105" t="s">
        <v>74</v>
      </c>
      <c r="H105" t="s">
        <v>74</v>
      </c>
      <c r="I105" t="s">
        <v>1294</v>
      </c>
      <c r="J105" t="s">
        <v>1295</v>
      </c>
      <c r="K105" t="s">
        <v>74</v>
      </c>
      <c r="L105" t="s">
        <v>74</v>
      </c>
      <c r="M105" t="s">
        <v>1025</v>
      </c>
      <c r="N105" t="s">
        <v>78</v>
      </c>
      <c r="O105" t="s">
        <v>74</v>
      </c>
      <c r="P105" t="s">
        <v>74</v>
      </c>
      <c r="Q105" t="s">
        <v>74</v>
      </c>
      <c r="R105" t="s">
        <v>74</v>
      </c>
      <c r="S105" t="s">
        <v>74</v>
      </c>
      <c r="T105" t="s">
        <v>74</v>
      </c>
      <c r="U105" t="s">
        <v>74</v>
      </c>
      <c r="V105" t="s">
        <v>3264</v>
      </c>
      <c r="W105" s="1" t="s">
        <v>74</v>
      </c>
      <c r="X105" t="s">
        <v>74</v>
      </c>
      <c r="Y105" t="s">
        <v>74</v>
      </c>
      <c r="Z105" t="s">
        <v>74</v>
      </c>
      <c r="AA105" t="s">
        <v>74</v>
      </c>
      <c r="AB105" t="s">
        <v>74</v>
      </c>
      <c r="AC105" t="s">
        <v>74</v>
      </c>
      <c r="AD105" t="s">
        <v>74</v>
      </c>
      <c r="AE105" t="s">
        <v>74</v>
      </c>
      <c r="AF105" t="s">
        <v>74</v>
      </c>
      <c r="AG105" t="s">
        <v>74</v>
      </c>
      <c r="AH105">
        <v>23</v>
      </c>
      <c r="AI105">
        <v>9</v>
      </c>
      <c r="AJ105">
        <v>14</v>
      </c>
      <c r="AK105">
        <v>0</v>
      </c>
      <c r="AL105">
        <v>0</v>
      </c>
      <c r="AM105" t="s">
        <v>1296</v>
      </c>
      <c r="AN105" t="s">
        <v>1297</v>
      </c>
      <c r="AO105" t="s">
        <v>1298</v>
      </c>
      <c r="AP105" t="s">
        <v>1299</v>
      </c>
      <c r="AQ105" t="s">
        <v>74</v>
      </c>
      <c r="AR105" t="s">
        <v>74</v>
      </c>
      <c r="AS105" t="s">
        <v>1300</v>
      </c>
      <c r="AT105" t="s">
        <v>1301</v>
      </c>
      <c r="AU105" t="s">
        <v>74</v>
      </c>
      <c r="AV105">
        <v>1970</v>
      </c>
      <c r="AW105">
        <v>5</v>
      </c>
      <c r="AX105">
        <v>2</v>
      </c>
      <c r="AY105" t="s">
        <v>74</v>
      </c>
      <c r="AZ105" t="s">
        <v>74</v>
      </c>
      <c r="BA105" t="s">
        <v>74</v>
      </c>
      <c r="BB105" t="s">
        <v>74</v>
      </c>
      <c r="BC105">
        <v>173</v>
      </c>
      <c r="BD105" t="s">
        <v>1302</v>
      </c>
      <c r="BE105" t="s">
        <v>74</v>
      </c>
      <c r="BF105" t="s">
        <v>1303</v>
      </c>
      <c r="BG105" t="s">
        <v>3173</v>
      </c>
      <c r="BH105" t="s">
        <v>74</v>
      </c>
      <c r="BI105" t="s">
        <v>74</v>
      </c>
      <c r="BJ105">
        <v>0</v>
      </c>
      <c r="BK105" t="s">
        <v>1304</v>
      </c>
      <c r="BL105" t="s">
        <v>1041</v>
      </c>
      <c r="BM105" t="s">
        <v>1304</v>
      </c>
      <c r="BN105" t="s">
        <v>1305</v>
      </c>
      <c r="BO105">
        <v>4988267</v>
      </c>
      <c r="BP105" t="s">
        <v>1164</v>
      </c>
      <c r="BQ105" t="s">
        <v>74</v>
      </c>
      <c r="BR105" t="s">
        <v>74</v>
      </c>
      <c r="BS105" t="s">
        <v>86</v>
      </c>
      <c r="BT105" t="s">
        <v>1306</v>
      </c>
      <c r="BU105" t="s">
        <v>3164</v>
      </c>
    </row>
    <row r="106" spans="1:73" ht="170" x14ac:dyDescent="0.2">
      <c r="A106" t="s">
        <v>72</v>
      </c>
      <c r="B106" t="s">
        <v>100</v>
      </c>
      <c r="C106" t="s">
        <v>74</v>
      </c>
      <c r="D106" t="s">
        <v>74</v>
      </c>
      <c r="E106" t="s">
        <v>74</v>
      </c>
      <c r="F106" t="s">
        <v>101</v>
      </c>
      <c r="G106" t="s">
        <v>74</v>
      </c>
      <c r="H106" t="s">
        <v>74</v>
      </c>
      <c r="I106" t="s">
        <v>102</v>
      </c>
      <c r="J106" t="s">
        <v>103</v>
      </c>
      <c r="K106" t="s">
        <v>74</v>
      </c>
      <c r="L106" t="s">
        <v>74</v>
      </c>
      <c r="M106" t="s">
        <v>1025</v>
      </c>
      <c r="N106" t="s">
        <v>78</v>
      </c>
      <c r="O106" t="s">
        <v>74</v>
      </c>
      <c r="P106" t="s">
        <v>74</v>
      </c>
      <c r="Q106" t="s">
        <v>74</v>
      </c>
      <c r="R106" t="s">
        <v>74</v>
      </c>
      <c r="S106" t="s">
        <v>74</v>
      </c>
      <c r="T106" t="s">
        <v>1307</v>
      </c>
      <c r="U106" t="s">
        <v>1308</v>
      </c>
      <c r="V106" t="b">
        <v>1</v>
      </c>
      <c r="W106" s="1" t="s">
        <v>104</v>
      </c>
      <c r="X106" t="s">
        <v>105</v>
      </c>
      <c r="Y106" t="s">
        <v>1309</v>
      </c>
      <c r="Z106" t="s">
        <v>106</v>
      </c>
      <c r="AA106" t="s">
        <v>107</v>
      </c>
      <c r="AB106" t="s">
        <v>1310</v>
      </c>
      <c r="AC106" t="s">
        <v>1311</v>
      </c>
      <c r="AD106" t="s">
        <v>1312</v>
      </c>
      <c r="AE106" t="s">
        <v>1313</v>
      </c>
      <c r="AF106" t="s">
        <v>1314</v>
      </c>
      <c r="AG106" t="s">
        <v>74</v>
      </c>
      <c r="AH106">
        <v>61</v>
      </c>
      <c r="AI106">
        <v>36</v>
      </c>
      <c r="AJ106">
        <v>41</v>
      </c>
      <c r="AK106">
        <v>21</v>
      </c>
      <c r="AL106">
        <v>214</v>
      </c>
      <c r="AM106" t="s">
        <v>1315</v>
      </c>
      <c r="AN106" t="s">
        <v>1316</v>
      </c>
      <c r="AO106" t="s">
        <v>1317</v>
      </c>
      <c r="AP106" t="s">
        <v>1318</v>
      </c>
      <c r="AQ106" t="s">
        <v>1319</v>
      </c>
      <c r="AR106" t="s">
        <v>74</v>
      </c>
      <c r="AS106" t="s">
        <v>1320</v>
      </c>
      <c r="AT106" t="s">
        <v>1321</v>
      </c>
      <c r="AU106" t="s">
        <v>108</v>
      </c>
      <c r="AV106">
        <v>2023</v>
      </c>
      <c r="AW106">
        <v>80</v>
      </c>
      <c r="AX106" t="s">
        <v>74</v>
      </c>
      <c r="AY106" t="s">
        <v>74</v>
      </c>
      <c r="AZ106" t="s">
        <v>74</v>
      </c>
      <c r="BA106" t="s">
        <v>74</v>
      </c>
      <c r="BB106" t="s">
        <v>74</v>
      </c>
      <c r="BC106" t="s">
        <v>74</v>
      </c>
      <c r="BD106" t="s">
        <v>74</v>
      </c>
      <c r="BE106">
        <v>103225</v>
      </c>
      <c r="BF106" t="s">
        <v>109</v>
      </c>
      <c r="BG106" t="s">
        <v>3174</v>
      </c>
      <c r="BH106" t="s">
        <v>74</v>
      </c>
      <c r="BI106" t="s">
        <v>110</v>
      </c>
      <c r="BJ106">
        <v>15</v>
      </c>
      <c r="BK106" t="s">
        <v>1322</v>
      </c>
      <c r="BL106" t="s">
        <v>1323</v>
      </c>
      <c r="BM106" t="s">
        <v>1324</v>
      </c>
      <c r="BN106" t="s">
        <v>1325</v>
      </c>
      <c r="BO106" t="s">
        <v>74</v>
      </c>
      <c r="BP106" t="s">
        <v>74</v>
      </c>
      <c r="BQ106" t="s">
        <v>74</v>
      </c>
      <c r="BR106" t="s">
        <v>74</v>
      </c>
      <c r="BS106" t="s">
        <v>86</v>
      </c>
      <c r="BT106" t="s">
        <v>111</v>
      </c>
      <c r="BU106" t="s">
        <v>3164</v>
      </c>
    </row>
    <row r="107" spans="1:73" ht="17" x14ac:dyDescent="0.2">
      <c r="A107" t="s">
        <v>72</v>
      </c>
      <c r="B107" t="s">
        <v>1326</v>
      </c>
      <c r="C107" t="s">
        <v>74</v>
      </c>
      <c r="D107" t="s">
        <v>74</v>
      </c>
      <c r="E107" t="s">
        <v>74</v>
      </c>
      <c r="F107" t="s">
        <v>1327</v>
      </c>
      <c r="G107" t="s">
        <v>74</v>
      </c>
      <c r="H107" t="s">
        <v>74</v>
      </c>
      <c r="I107" t="s">
        <v>1328</v>
      </c>
      <c r="J107" t="s">
        <v>1329</v>
      </c>
      <c r="K107" t="s">
        <v>74</v>
      </c>
      <c r="L107" t="s">
        <v>74</v>
      </c>
      <c r="M107" t="s">
        <v>1025</v>
      </c>
      <c r="N107" t="s">
        <v>52</v>
      </c>
      <c r="O107" t="s">
        <v>1330</v>
      </c>
      <c r="P107" t="s">
        <v>1331</v>
      </c>
      <c r="Q107" t="s">
        <v>1332</v>
      </c>
      <c r="R107" t="s">
        <v>74</v>
      </c>
      <c r="S107" t="s">
        <v>74</v>
      </c>
      <c r="T107" t="s">
        <v>74</v>
      </c>
      <c r="U107" t="s">
        <v>74</v>
      </c>
      <c r="V107" t="s">
        <v>3264</v>
      </c>
      <c r="W107" s="1" t="s">
        <v>74</v>
      </c>
      <c r="X107" t="s">
        <v>74</v>
      </c>
      <c r="Y107" t="s">
        <v>74</v>
      </c>
      <c r="Z107" t="s">
        <v>74</v>
      </c>
      <c r="AA107" t="s">
        <v>74</v>
      </c>
      <c r="AB107" t="s">
        <v>74</v>
      </c>
      <c r="AC107" t="s">
        <v>74</v>
      </c>
      <c r="AD107" t="s">
        <v>1333</v>
      </c>
      <c r="AE107" t="s">
        <v>1334</v>
      </c>
      <c r="AF107" t="s">
        <v>1335</v>
      </c>
      <c r="AG107" t="s">
        <v>74</v>
      </c>
      <c r="AH107">
        <v>0</v>
      </c>
      <c r="AI107">
        <v>0</v>
      </c>
      <c r="AJ107">
        <v>0</v>
      </c>
      <c r="AK107">
        <v>0</v>
      </c>
      <c r="AL107">
        <v>0</v>
      </c>
      <c r="AM107" t="s">
        <v>1336</v>
      </c>
      <c r="AN107" t="s">
        <v>1337</v>
      </c>
      <c r="AO107" t="s">
        <v>1338</v>
      </c>
      <c r="AP107" t="s">
        <v>1339</v>
      </c>
      <c r="AQ107" t="s">
        <v>1340</v>
      </c>
      <c r="AR107" t="s">
        <v>74</v>
      </c>
      <c r="AS107" t="s">
        <v>1329</v>
      </c>
      <c r="AT107" t="s">
        <v>1341</v>
      </c>
      <c r="AU107" t="s">
        <v>279</v>
      </c>
      <c r="AV107">
        <v>2024</v>
      </c>
      <c r="AW107">
        <v>39</v>
      </c>
      <c r="AX107" t="s">
        <v>74</v>
      </c>
      <c r="AY107" t="s">
        <v>74</v>
      </c>
      <c r="AZ107">
        <v>1</v>
      </c>
      <c r="BA107" t="s">
        <v>74</v>
      </c>
      <c r="BB107" t="s">
        <v>74</v>
      </c>
      <c r="BC107" t="s">
        <v>74</v>
      </c>
      <c r="BD107" t="s">
        <v>74</v>
      </c>
      <c r="BE107" t="s">
        <v>74</v>
      </c>
      <c r="BF107" t="s">
        <v>1342</v>
      </c>
      <c r="BG107" t="s">
        <v>3175</v>
      </c>
      <c r="BH107" t="s">
        <v>74</v>
      </c>
      <c r="BI107" t="s">
        <v>74</v>
      </c>
      <c r="BJ107">
        <v>2</v>
      </c>
      <c r="BK107" t="s">
        <v>1341</v>
      </c>
      <c r="BL107" t="s">
        <v>1186</v>
      </c>
      <c r="BM107" t="s">
        <v>1341</v>
      </c>
      <c r="BN107" t="s">
        <v>1343</v>
      </c>
      <c r="BO107" t="s">
        <v>74</v>
      </c>
      <c r="BP107" t="s">
        <v>74</v>
      </c>
      <c r="BQ107" t="s">
        <v>74</v>
      </c>
      <c r="BR107" t="s">
        <v>74</v>
      </c>
      <c r="BS107" t="s">
        <v>86</v>
      </c>
      <c r="BT107" t="s">
        <v>1344</v>
      </c>
      <c r="BU107" t="s">
        <v>3164</v>
      </c>
    </row>
    <row r="108" spans="1:73" ht="119" x14ac:dyDescent="0.2">
      <c r="A108" t="s">
        <v>72</v>
      </c>
      <c r="B108" t="s">
        <v>1345</v>
      </c>
      <c r="C108" t="s">
        <v>74</v>
      </c>
      <c r="D108" t="s">
        <v>74</v>
      </c>
      <c r="E108" t="s">
        <v>74</v>
      </c>
      <c r="F108" t="s">
        <v>1346</v>
      </c>
      <c r="G108" t="s">
        <v>74</v>
      </c>
      <c r="H108" t="s">
        <v>74</v>
      </c>
      <c r="I108" t="s">
        <v>1347</v>
      </c>
      <c r="J108" t="s">
        <v>336</v>
      </c>
      <c r="K108" t="s">
        <v>74</v>
      </c>
      <c r="L108" t="s">
        <v>74</v>
      </c>
      <c r="M108" t="s">
        <v>1025</v>
      </c>
      <c r="N108" t="s">
        <v>337</v>
      </c>
      <c r="O108" t="s">
        <v>1348</v>
      </c>
      <c r="P108" t="s">
        <v>1349</v>
      </c>
      <c r="Q108" t="s">
        <v>1350</v>
      </c>
      <c r="R108" t="s">
        <v>1351</v>
      </c>
      <c r="S108" t="s">
        <v>1352</v>
      </c>
      <c r="T108" t="s">
        <v>74</v>
      </c>
      <c r="U108" t="s">
        <v>1353</v>
      </c>
      <c r="V108" t="b">
        <v>0</v>
      </c>
      <c r="W108" s="1" t="s">
        <v>1354</v>
      </c>
      <c r="X108" t="s">
        <v>1355</v>
      </c>
      <c r="Y108" t="s">
        <v>1356</v>
      </c>
      <c r="Z108" t="s">
        <v>1357</v>
      </c>
      <c r="AA108" t="s">
        <v>1358</v>
      </c>
      <c r="AB108" t="s">
        <v>74</v>
      </c>
      <c r="AC108" t="s">
        <v>1359</v>
      </c>
      <c r="AD108" t="s">
        <v>74</v>
      </c>
      <c r="AE108" t="s">
        <v>74</v>
      </c>
      <c r="AF108" t="s">
        <v>74</v>
      </c>
      <c r="AG108" t="s">
        <v>74</v>
      </c>
      <c r="AH108">
        <v>22</v>
      </c>
      <c r="AI108">
        <v>7</v>
      </c>
      <c r="AJ108">
        <v>7</v>
      </c>
      <c r="AK108">
        <v>1</v>
      </c>
      <c r="AL108">
        <v>11</v>
      </c>
      <c r="AM108" t="s">
        <v>1033</v>
      </c>
      <c r="AN108" t="s">
        <v>1034</v>
      </c>
      <c r="AO108" t="s">
        <v>1035</v>
      </c>
      <c r="AP108" t="s">
        <v>1360</v>
      </c>
      <c r="AQ108" t="s">
        <v>1361</v>
      </c>
      <c r="AR108" t="s">
        <v>74</v>
      </c>
      <c r="AS108" t="s">
        <v>1362</v>
      </c>
      <c r="AT108" t="s">
        <v>1363</v>
      </c>
      <c r="AU108" t="s">
        <v>1364</v>
      </c>
      <c r="AV108">
        <v>2011</v>
      </c>
      <c r="AW108">
        <v>415</v>
      </c>
      <c r="AX108">
        <v>1</v>
      </c>
      <c r="AY108" t="s">
        <v>74</v>
      </c>
      <c r="AZ108" t="s">
        <v>1220</v>
      </c>
      <c r="BA108" t="s">
        <v>74</v>
      </c>
      <c r="BB108" t="s">
        <v>74</v>
      </c>
      <c r="BC108" t="s">
        <v>1365</v>
      </c>
      <c r="BD108" t="s">
        <v>1366</v>
      </c>
      <c r="BE108" t="s">
        <v>74</v>
      </c>
      <c r="BF108" t="s">
        <v>1367</v>
      </c>
      <c r="BG108" t="s">
        <v>3176</v>
      </c>
      <c r="BH108" t="s">
        <v>74</v>
      </c>
      <c r="BI108" t="s">
        <v>74</v>
      </c>
      <c r="BJ108">
        <v>5</v>
      </c>
      <c r="BK108" t="s">
        <v>1368</v>
      </c>
      <c r="BL108" t="s">
        <v>1186</v>
      </c>
      <c r="BM108" t="s">
        <v>1369</v>
      </c>
      <c r="BN108" t="s">
        <v>1370</v>
      </c>
      <c r="BO108" t="s">
        <v>74</v>
      </c>
      <c r="BP108" t="s">
        <v>74</v>
      </c>
      <c r="BQ108" t="s">
        <v>74</v>
      </c>
      <c r="BR108" t="s">
        <v>74</v>
      </c>
      <c r="BS108" t="s">
        <v>86</v>
      </c>
      <c r="BT108" t="s">
        <v>1371</v>
      </c>
      <c r="BU108" t="s">
        <v>3164</v>
      </c>
    </row>
    <row r="109" spans="1:73" ht="17" x14ac:dyDescent="0.2">
      <c r="A109" t="s">
        <v>72</v>
      </c>
      <c r="B109" t="s">
        <v>1372</v>
      </c>
      <c r="C109" t="s">
        <v>74</v>
      </c>
      <c r="D109" t="s">
        <v>74</v>
      </c>
      <c r="E109" t="s">
        <v>74</v>
      </c>
      <c r="F109" t="s">
        <v>1373</v>
      </c>
      <c r="G109" t="s">
        <v>74</v>
      </c>
      <c r="H109" t="s">
        <v>74</v>
      </c>
      <c r="I109" t="s">
        <v>1374</v>
      </c>
      <c r="J109" t="s">
        <v>1140</v>
      </c>
      <c r="K109" t="s">
        <v>74</v>
      </c>
      <c r="L109" t="s">
        <v>74</v>
      </c>
      <c r="M109" t="s">
        <v>1025</v>
      </c>
      <c r="N109" t="s">
        <v>1375</v>
      </c>
      <c r="O109" t="s">
        <v>74</v>
      </c>
      <c r="P109" t="s">
        <v>74</v>
      </c>
      <c r="Q109" t="s">
        <v>74</v>
      </c>
      <c r="R109" t="s">
        <v>74</v>
      </c>
      <c r="S109" t="s">
        <v>74</v>
      </c>
      <c r="T109" t="s">
        <v>74</v>
      </c>
      <c r="U109" t="s">
        <v>74</v>
      </c>
      <c r="V109" t="s">
        <v>3264</v>
      </c>
      <c r="W109" s="1" t="s">
        <v>74</v>
      </c>
      <c r="X109" t="s">
        <v>1376</v>
      </c>
      <c r="Y109" t="s">
        <v>1377</v>
      </c>
      <c r="Z109" t="s">
        <v>1378</v>
      </c>
      <c r="AA109" t="s">
        <v>1379</v>
      </c>
      <c r="AB109" t="s">
        <v>1380</v>
      </c>
      <c r="AC109" t="s">
        <v>1381</v>
      </c>
      <c r="AD109" t="s">
        <v>1382</v>
      </c>
      <c r="AE109" t="s">
        <v>1383</v>
      </c>
      <c r="AF109" t="s">
        <v>74</v>
      </c>
      <c r="AG109" t="s">
        <v>74</v>
      </c>
      <c r="AH109">
        <v>5</v>
      </c>
      <c r="AI109">
        <v>5</v>
      </c>
      <c r="AJ109">
        <v>5</v>
      </c>
      <c r="AK109">
        <v>0</v>
      </c>
      <c r="AL109">
        <v>6</v>
      </c>
      <c r="AM109" t="s">
        <v>1153</v>
      </c>
      <c r="AN109" t="s">
        <v>1129</v>
      </c>
      <c r="AO109" t="s">
        <v>1154</v>
      </c>
      <c r="AP109" t="s">
        <v>1155</v>
      </c>
      <c r="AQ109" t="s">
        <v>1156</v>
      </c>
      <c r="AR109" t="s">
        <v>74</v>
      </c>
      <c r="AS109" t="s">
        <v>1157</v>
      </c>
      <c r="AT109" t="s">
        <v>1158</v>
      </c>
      <c r="AU109" t="s">
        <v>120</v>
      </c>
      <c r="AV109">
        <v>2021</v>
      </c>
      <c r="AW109">
        <v>23</v>
      </c>
      <c r="AX109">
        <v>1</v>
      </c>
      <c r="AY109" t="s">
        <v>74</v>
      </c>
      <c r="AZ109" t="s">
        <v>74</v>
      </c>
      <c r="BA109" t="s">
        <v>74</v>
      </c>
      <c r="BB109" t="s">
        <v>74</v>
      </c>
      <c r="BC109">
        <v>101</v>
      </c>
      <c r="BD109">
        <v>103</v>
      </c>
      <c r="BE109" t="s">
        <v>74</v>
      </c>
      <c r="BF109" t="s">
        <v>1384</v>
      </c>
      <c r="BG109" t="s">
        <v>3177</v>
      </c>
      <c r="BH109" t="s">
        <v>74</v>
      </c>
      <c r="BI109" t="s">
        <v>1385</v>
      </c>
      <c r="BJ109">
        <v>3</v>
      </c>
      <c r="BK109" t="s">
        <v>1161</v>
      </c>
      <c r="BL109" t="s">
        <v>1041</v>
      </c>
      <c r="BM109" t="s">
        <v>1162</v>
      </c>
      <c r="BN109" t="s">
        <v>1386</v>
      </c>
      <c r="BO109">
        <v>33012081</v>
      </c>
      <c r="BP109" t="s">
        <v>74</v>
      </c>
      <c r="BQ109" t="s">
        <v>74</v>
      </c>
      <c r="BR109" t="s">
        <v>74</v>
      </c>
      <c r="BS109" t="s">
        <v>86</v>
      </c>
      <c r="BT109" t="s">
        <v>1387</v>
      </c>
      <c r="BU109" t="s">
        <v>3164</v>
      </c>
    </row>
    <row r="110" spans="1:73" ht="17" x14ac:dyDescent="0.2">
      <c r="A110" t="s">
        <v>72</v>
      </c>
      <c r="B110" t="s">
        <v>1388</v>
      </c>
      <c r="C110" t="s">
        <v>74</v>
      </c>
      <c r="D110" t="s">
        <v>74</v>
      </c>
      <c r="E110" t="s">
        <v>74</v>
      </c>
      <c r="F110" t="s">
        <v>1388</v>
      </c>
      <c r="G110" t="s">
        <v>74</v>
      </c>
      <c r="H110" t="s">
        <v>74</v>
      </c>
      <c r="I110" t="s">
        <v>1389</v>
      </c>
      <c r="J110" t="s">
        <v>1390</v>
      </c>
      <c r="K110" t="s">
        <v>74</v>
      </c>
      <c r="L110" t="s">
        <v>74</v>
      </c>
      <c r="M110" t="s">
        <v>1025</v>
      </c>
      <c r="N110" t="s">
        <v>337</v>
      </c>
      <c r="O110" t="s">
        <v>1391</v>
      </c>
      <c r="P110" t="s">
        <v>1392</v>
      </c>
      <c r="Q110" t="s">
        <v>1393</v>
      </c>
      <c r="R110" t="s">
        <v>1394</v>
      </c>
      <c r="S110" t="s">
        <v>1395</v>
      </c>
      <c r="T110" t="s">
        <v>74</v>
      </c>
      <c r="U110" t="s">
        <v>1396</v>
      </c>
      <c r="V110" t="s">
        <v>3264</v>
      </c>
      <c r="W110" s="1" t="s">
        <v>74</v>
      </c>
      <c r="X110" t="s">
        <v>74</v>
      </c>
      <c r="Y110" t="s">
        <v>74</v>
      </c>
      <c r="Z110" t="s">
        <v>1397</v>
      </c>
      <c r="AA110" t="s">
        <v>74</v>
      </c>
      <c r="AB110" t="s">
        <v>1398</v>
      </c>
      <c r="AC110" t="s">
        <v>1399</v>
      </c>
      <c r="AD110" t="s">
        <v>1400</v>
      </c>
      <c r="AE110" t="s">
        <v>1401</v>
      </c>
      <c r="AF110" t="s">
        <v>74</v>
      </c>
      <c r="AG110" t="s">
        <v>74</v>
      </c>
      <c r="AH110">
        <v>29</v>
      </c>
      <c r="AI110">
        <v>21</v>
      </c>
      <c r="AJ110">
        <v>23</v>
      </c>
      <c r="AK110">
        <v>0</v>
      </c>
      <c r="AL110">
        <v>0</v>
      </c>
      <c r="AM110" t="s">
        <v>1402</v>
      </c>
      <c r="AN110" t="s">
        <v>1177</v>
      </c>
      <c r="AO110" t="s">
        <v>1403</v>
      </c>
      <c r="AP110" t="s">
        <v>1404</v>
      </c>
      <c r="AQ110" t="s">
        <v>74</v>
      </c>
      <c r="AR110" t="s">
        <v>74</v>
      </c>
      <c r="AS110" t="s">
        <v>1405</v>
      </c>
      <c r="AT110" t="s">
        <v>1406</v>
      </c>
      <c r="AU110" t="s">
        <v>279</v>
      </c>
      <c r="AV110">
        <v>1992</v>
      </c>
      <c r="AW110">
        <v>20</v>
      </c>
      <c r="AX110">
        <v>2</v>
      </c>
      <c r="AY110" t="s">
        <v>74</v>
      </c>
      <c r="AZ110" t="s">
        <v>74</v>
      </c>
      <c r="BA110" t="s">
        <v>74</v>
      </c>
      <c r="BB110" t="s">
        <v>74</v>
      </c>
      <c r="BC110">
        <v>430</v>
      </c>
      <c r="BD110">
        <v>434</v>
      </c>
      <c r="BE110" t="s">
        <v>74</v>
      </c>
      <c r="BF110" t="s">
        <v>1407</v>
      </c>
      <c r="BG110" t="s">
        <v>3178</v>
      </c>
      <c r="BH110" t="s">
        <v>74</v>
      </c>
      <c r="BI110" t="s">
        <v>74</v>
      </c>
      <c r="BJ110">
        <v>5</v>
      </c>
      <c r="BK110" t="s">
        <v>1408</v>
      </c>
      <c r="BL110" t="s">
        <v>1409</v>
      </c>
      <c r="BM110" t="s">
        <v>1408</v>
      </c>
      <c r="BN110" t="s">
        <v>1410</v>
      </c>
      <c r="BO110">
        <v>1327919</v>
      </c>
      <c r="BP110" t="s">
        <v>74</v>
      </c>
      <c r="BQ110" t="s">
        <v>74</v>
      </c>
      <c r="BR110" t="s">
        <v>74</v>
      </c>
      <c r="BS110" t="s">
        <v>86</v>
      </c>
      <c r="BT110" t="s">
        <v>1411</v>
      </c>
      <c r="BU110" t="s">
        <v>3164</v>
      </c>
    </row>
    <row r="111" spans="1:73" ht="85" x14ac:dyDescent="0.2">
      <c r="A111" t="s">
        <v>72</v>
      </c>
      <c r="B111" t="s">
        <v>1412</v>
      </c>
      <c r="C111" t="s">
        <v>74</v>
      </c>
      <c r="D111" t="s">
        <v>74</v>
      </c>
      <c r="E111" t="s">
        <v>74</v>
      </c>
      <c r="F111" t="s">
        <v>1412</v>
      </c>
      <c r="G111" t="s">
        <v>74</v>
      </c>
      <c r="H111" t="s">
        <v>74</v>
      </c>
      <c r="I111" t="s">
        <v>1413</v>
      </c>
      <c r="J111" t="s">
        <v>1414</v>
      </c>
      <c r="K111" t="s">
        <v>74</v>
      </c>
      <c r="L111" t="s">
        <v>74</v>
      </c>
      <c r="M111" t="s">
        <v>1025</v>
      </c>
      <c r="N111" t="s">
        <v>78</v>
      </c>
      <c r="O111" t="s">
        <v>74</v>
      </c>
      <c r="P111" t="s">
        <v>74</v>
      </c>
      <c r="Q111" t="s">
        <v>74</v>
      </c>
      <c r="R111" t="s">
        <v>74</v>
      </c>
      <c r="S111" t="s">
        <v>74</v>
      </c>
      <c r="T111" t="s">
        <v>74</v>
      </c>
      <c r="U111" t="s">
        <v>74</v>
      </c>
      <c r="V111" t="b">
        <v>0</v>
      </c>
      <c r="W111" s="1" t="s">
        <v>1415</v>
      </c>
      <c r="X111" t="s">
        <v>74</v>
      </c>
      <c r="Y111" t="s">
        <v>74</v>
      </c>
      <c r="Z111" t="s">
        <v>1416</v>
      </c>
      <c r="AA111" t="s">
        <v>74</v>
      </c>
      <c r="AB111" t="s">
        <v>1417</v>
      </c>
      <c r="AC111" t="s">
        <v>74</v>
      </c>
      <c r="AD111" t="s">
        <v>74</v>
      </c>
      <c r="AE111" t="s">
        <v>74</v>
      </c>
      <c r="AF111" t="s">
        <v>74</v>
      </c>
      <c r="AG111" t="s">
        <v>74</v>
      </c>
      <c r="AH111">
        <v>0</v>
      </c>
      <c r="AI111">
        <v>9</v>
      </c>
      <c r="AJ111">
        <v>9</v>
      </c>
      <c r="AK111">
        <v>0</v>
      </c>
      <c r="AL111">
        <v>1</v>
      </c>
      <c r="AM111" t="s">
        <v>1418</v>
      </c>
      <c r="AN111" t="s">
        <v>1419</v>
      </c>
      <c r="AO111" t="s">
        <v>1420</v>
      </c>
      <c r="AP111" t="s">
        <v>1421</v>
      </c>
      <c r="AQ111" t="s">
        <v>1422</v>
      </c>
      <c r="AR111" t="s">
        <v>74</v>
      </c>
      <c r="AS111" t="s">
        <v>1423</v>
      </c>
      <c r="AT111" t="s">
        <v>1424</v>
      </c>
      <c r="AU111" t="s">
        <v>74</v>
      </c>
      <c r="AV111">
        <v>1989</v>
      </c>
      <c r="AW111">
        <v>6</v>
      </c>
      <c r="AX111">
        <v>2</v>
      </c>
      <c r="AY111" t="s">
        <v>74</v>
      </c>
      <c r="AZ111" t="s">
        <v>74</v>
      </c>
      <c r="BA111" t="s">
        <v>74</v>
      </c>
      <c r="BB111" t="s">
        <v>74</v>
      </c>
      <c r="BC111">
        <v>123</v>
      </c>
      <c r="BD111" t="s">
        <v>1425</v>
      </c>
      <c r="BE111" t="s">
        <v>74</v>
      </c>
      <c r="BF111" t="s">
        <v>1426</v>
      </c>
      <c r="BG111" t="s">
        <v>3179</v>
      </c>
      <c r="BH111" t="s">
        <v>74</v>
      </c>
      <c r="BI111" t="s">
        <v>74</v>
      </c>
      <c r="BJ111">
        <v>1</v>
      </c>
      <c r="BK111" t="s">
        <v>1427</v>
      </c>
      <c r="BL111" t="s">
        <v>1041</v>
      </c>
      <c r="BM111" t="s">
        <v>1428</v>
      </c>
      <c r="BN111" t="s">
        <v>1429</v>
      </c>
      <c r="BO111">
        <v>2545362</v>
      </c>
      <c r="BP111" t="s">
        <v>74</v>
      </c>
      <c r="BQ111" t="s">
        <v>74</v>
      </c>
      <c r="BR111" t="s">
        <v>74</v>
      </c>
      <c r="BS111" t="s">
        <v>86</v>
      </c>
      <c r="BT111" t="s">
        <v>1430</v>
      </c>
      <c r="BU111" t="s">
        <v>3164</v>
      </c>
    </row>
    <row r="112" spans="1:73" ht="153" x14ac:dyDescent="0.2">
      <c r="A112" t="s">
        <v>72</v>
      </c>
      <c r="B112" t="s">
        <v>1431</v>
      </c>
      <c r="C112" t="s">
        <v>74</v>
      </c>
      <c r="D112" t="s">
        <v>74</v>
      </c>
      <c r="E112" t="s">
        <v>74</v>
      </c>
      <c r="F112" t="s">
        <v>1432</v>
      </c>
      <c r="G112" t="s">
        <v>74</v>
      </c>
      <c r="H112" t="s">
        <v>74</v>
      </c>
      <c r="I112" t="s">
        <v>1433</v>
      </c>
      <c r="J112" t="s">
        <v>641</v>
      </c>
      <c r="K112" t="s">
        <v>74</v>
      </c>
      <c r="L112" t="s">
        <v>74</v>
      </c>
      <c r="M112" t="s">
        <v>1025</v>
      </c>
      <c r="N112" t="s">
        <v>337</v>
      </c>
      <c r="O112" t="s">
        <v>1434</v>
      </c>
      <c r="P112" t="s">
        <v>1435</v>
      </c>
      <c r="Q112" t="s">
        <v>1436</v>
      </c>
      <c r="R112" t="s">
        <v>74</v>
      </c>
      <c r="S112" t="s">
        <v>74</v>
      </c>
      <c r="T112" t="s">
        <v>1437</v>
      </c>
      <c r="U112" t="s">
        <v>1438</v>
      </c>
      <c r="V112" t="b">
        <v>0</v>
      </c>
      <c r="W112" s="1" t="s">
        <v>1439</v>
      </c>
      <c r="X112" t="s">
        <v>1440</v>
      </c>
      <c r="Y112" t="s">
        <v>1441</v>
      </c>
      <c r="Z112" t="s">
        <v>1442</v>
      </c>
      <c r="AA112" t="s">
        <v>1443</v>
      </c>
      <c r="AB112" t="s">
        <v>1444</v>
      </c>
      <c r="AC112" t="s">
        <v>1445</v>
      </c>
      <c r="AD112" t="s">
        <v>74</v>
      </c>
      <c r="AE112" t="s">
        <v>74</v>
      </c>
      <c r="AF112" t="s">
        <v>74</v>
      </c>
      <c r="AG112" t="s">
        <v>74</v>
      </c>
      <c r="AH112">
        <v>19</v>
      </c>
      <c r="AI112">
        <v>20</v>
      </c>
      <c r="AJ112">
        <v>26</v>
      </c>
      <c r="AK112">
        <v>0</v>
      </c>
      <c r="AL112">
        <v>13</v>
      </c>
      <c r="AM112" t="s">
        <v>1059</v>
      </c>
      <c r="AN112" t="s">
        <v>1060</v>
      </c>
      <c r="AO112" t="s">
        <v>1061</v>
      </c>
      <c r="AP112" t="s">
        <v>1062</v>
      </c>
      <c r="AQ112" t="s">
        <v>74</v>
      </c>
      <c r="AR112" t="s">
        <v>74</v>
      </c>
      <c r="AS112" t="s">
        <v>1063</v>
      </c>
      <c r="AT112" t="s">
        <v>1064</v>
      </c>
      <c r="AU112" t="s">
        <v>425</v>
      </c>
      <c r="AV112">
        <v>2007</v>
      </c>
      <c r="AW112">
        <v>82</v>
      </c>
      <c r="AX112" t="s">
        <v>1446</v>
      </c>
      <c r="AY112" t="s">
        <v>74</v>
      </c>
      <c r="AZ112" t="s">
        <v>74</v>
      </c>
      <c r="BA112" t="s">
        <v>74</v>
      </c>
      <c r="BB112" t="s">
        <v>74</v>
      </c>
      <c r="BC112">
        <v>1627</v>
      </c>
      <c r="BD112">
        <v>1633</v>
      </c>
      <c r="BE112" t="s">
        <v>74</v>
      </c>
      <c r="BF112" t="s">
        <v>1447</v>
      </c>
      <c r="BG112" t="s">
        <v>3180</v>
      </c>
      <c r="BH112" t="s">
        <v>74</v>
      </c>
      <c r="BI112" t="s">
        <v>74</v>
      </c>
      <c r="BJ112">
        <v>7</v>
      </c>
      <c r="BK112" t="s">
        <v>1066</v>
      </c>
      <c r="BL112" t="s">
        <v>1409</v>
      </c>
      <c r="BM112" t="s">
        <v>1066</v>
      </c>
      <c r="BN112" t="s">
        <v>1448</v>
      </c>
      <c r="BO112" t="s">
        <v>74</v>
      </c>
      <c r="BP112" t="s">
        <v>74</v>
      </c>
      <c r="BQ112" t="s">
        <v>74</v>
      </c>
      <c r="BR112" t="s">
        <v>74</v>
      </c>
      <c r="BS112" t="s">
        <v>86</v>
      </c>
      <c r="BT112" t="s">
        <v>1449</v>
      </c>
      <c r="BU112" t="s">
        <v>3164</v>
      </c>
    </row>
    <row r="113" spans="1:73" ht="136" x14ac:dyDescent="0.2">
      <c r="A113" t="s">
        <v>72</v>
      </c>
      <c r="B113" t="s">
        <v>88</v>
      </c>
      <c r="C113" t="s">
        <v>74</v>
      </c>
      <c r="D113" t="s">
        <v>74</v>
      </c>
      <c r="E113" t="s">
        <v>74</v>
      </c>
      <c r="F113" t="s">
        <v>89</v>
      </c>
      <c r="G113" t="s">
        <v>74</v>
      </c>
      <c r="H113" t="s">
        <v>74</v>
      </c>
      <c r="I113" t="s">
        <v>90</v>
      </c>
      <c r="J113" t="s">
        <v>91</v>
      </c>
      <c r="K113" t="s">
        <v>74</v>
      </c>
      <c r="L113" t="s">
        <v>74</v>
      </c>
      <c r="M113" t="s">
        <v>1025</v>
      </c>
      <c r="N113" t="s">
        <v>78</v>
      </c>
      <c r="O113" t="s">
        <v>74</v>
      </c>
      <c r="P113" t="s">
        <v>74</v>
      </c>
      <c r="Q113" t="s">
        <v>74</v>
      </c>
      <c r="R113" t="s">
        <v>74</v>
      </c>
      <c r="S113" t="s">
        <v>74</v>
      </c>
      <c r="T113" t="s">
        <v>74</v>
      </c>
      <c r="U113" t="s">
        <v>1450</v>
      </c>
      <c r="V113" t="b">
        <v>1</v>
      </c>
      <c r="W113" s="1" t="s">
        <v>92</v>
      </c>
      <c r="X113" t="s">
        <v>93</v>
      </c>
      <c r="Y113" t="s">
        <v>1451</v>
      </c>
      <c r="Z113" t="s">
        <v>94</v>
      </c>
      <c r="AA113" t="s">
        <v>95</v>
      </c>
      <c r="AB113" t="s">
        <v>1452</v>
      </c>
      <c r="AC113" t="s">
        <v>1453</v>
      </c>
      <c r="AD113" t="s">
        <v>1454</v>
      </c>
      <c r="AE113" t="s">
        <v>1455</v>
      </c>
      <c r="AF113" t="s">
        <v>1456</v>
      </c>
      <c r="AG113" t="s">
        <v>74</v>
      </c>
      <c r="AH113">
        <v>67</v>
      </c>
      <c r="AI113">
        <v>234</v>
      </c>
      <c r="AJ113">
        <v>254</v>
      </c>
      <c r="AK113">
        <v>80</v>
      </c>
      <c r="AL113">
        <v>327</v>
      </c>
      <c r="AM113" t="s">
        <v>1457</v>
      </c>
      <c r="AN113" t="s">
        <v>1458</v>
      </c>
      <c r="AO113" t="s">
        <v>1459</v>
      </c>
      <c r="AP113" t="s">
        <v>74</v>
      </c>
      <c r="AQ113" t="s">
        <v>1460</v>
      </c>
      <c r="AR113" t="s">
        <v>74</v>
      </c>
      <c r="AS113" t="s">
        <v>1461</v>
      </c>
      <c r="AT113" t="s">
        <v>1462</v>
      </c>
      <c r="AU113" t="s">
        <v>96</v>
      </c>
      <c r="AV113">
        <v>2024</v>
      </c>
      <c r="AW113">
        <v>15</v>
      </c>
      <c r="AX113">
        <v>1</v>
      </c>
      <c r="AY113" t="s">
        <v>74</v>
      </c>
      <c r="AZ113" t="s">
        <v>74</v>
      </c>
      <c r="BA113" t="s">
        <v>74</v>
      </c>
      <c r="BB113" t="s">
        <v>74</v>
      </c>
      <c r="BC113" t="s">
        <v>74</v>
      </c>
      <c r="BD113" t="s">
        <v>74</v>
      </c>
      <c r="BE113">
        <v>2143</v>
      </c>
      <c r="BF113" t="s">
        <v>97</v>
      </c>
      <c r="BG113" t="s">
        <v>3181</v>
      </c>
      <c r="BH113" t="s">
        <v>74</v>
      </c>
      <c r="BI113" t="s">
        <v>74</v>
      </c>
      <c r="BJ113">
        <v>11</v>
      </c>
      <c r="BK113" t="s">
        <v>1463</v>
      </c>
      <c r="BL113" t="s">
        <v>1041</v>
      </c>
      <c r="BM113" t="s">
        <v>1464</v>
      </c>
      <c r="BN113" t="s">
        <v>1465</v>
      </c>
      <c r="BO113">
        <v>38459029</v>
      </c>
      <c r="BP113" t="s">
        <v>1466</v>
      </c>
      <c r="BQ113" t="s">
        <v>98</v>
      </c>
      <c r="BR113" t="s">
        <v>98</v>
      </c>
      <c r="BS113" t="s">
        <v>86</v>
      </c>
      <c r="BT113" t="s">
        <v>99</v>
      </c>
      <c r="BU113" t="s">
        <v>3164</v>
      </c>
    </row>
    <row r="114" spans="1:73" ht="153" x14ac:dyDescent="0.2">
      <c r="A114" t="s">
        <v>72</v>
      </c>
      <c r="B114" t="s">
        <v>1467</v>
      </c>
      <c r="C114" t="s">
        <v>74</v>
      </c>
      <c r="D114" t="s">
        <v>74</v>
      </c>
      <c r="E114" t="s">
        <v>74</v>
      </c>
      <c r="F114" t="s">
        <v>1467</v>
      </c>
      <c r="G114" t="s">
        <v>74</v>
      </c>
      <c r="H114" t="s">
        <v>74</v>
      </c>
      <c r="I114" t="s">
        <v>1468</v>
      </c>
      <c r="J114" t="s">
        <v>641</v>
      </c>
      <c r="K114" t="s">
        <v>74</v>
      </c>
      <c r="L114" t="s">
        <v>74</v>
      </c>
      <c r="M114" t="s">
        <v>1025</v>
      </c>
      <c r="N114" t="s">
        <v>78</v>
      </c>
      <c r="O114" t="s">
        <v>74</v>
      </c>
      <c r="P114" t="s">
        <v>74</v>
      </c>
      <c r="Q114" t="s">
        <v>74</v>
      </c>
      <c r="R114" t="s">
        <v>74</v>
      </c>
      <c r="S114" t="s">
        <v>74</v>
      </c>
      <c r="T114" t="s">
        <v>1469</v>
      </c>
      <c r="U114" t="s">
        <v>1470</v>
      </c>
      <c r="V114" t="b">
        <v>0</v>
      </c>
      <c r="W114" s="1" t="s">
        <v>1471</v>
      </c>
      <c r="X114" t="s">
        <v>1472</v>
      </c>
      <c r="Y114" t="s">
        <v>1473</v>
      </c>
      <c r="Z114" t="s">
        <v>1474</v>
      </c>
      <c r="AA114" t="s">
        <v>1475</v>
      </c>
      <c r="AB114" t="s">
        <v>1476</v>
      </c>
      <c r="AC114" t="s">
        <v>1477</v>
      </c>
      <c r="AD114" t="s">
        <v>74</v>
      </c>
      <c r="AE114" t="s">
        <v>74</v>
      </c>
      <c r="AF114" t="s">
        <v>74</v>
      </c>
      <c r="AG114" t="s">
        <v>74</v>
      </c>
      <c r="AH114">
        <v>15</v>
      </c>
      <c r="AI114">
        <v>51</v>
      </c>
      <c r="AJ114">
        <v>66</v>
      </c>
      <c r="AK114">
        <v>1</v>
      </c>
      <c r="AL114">
        <v>24</v>
      </c>
      <c r="AM114" t="s">
        <v>1059</v>
      </c>
      <c r="AN114" t="s">
        <v>1060</v>
      </c>
      <c r="AO114" t="s">
        <v>1061</v>
      </c>
      <c r="AP114" t="s">
        <v>1062</v>
      </c>
      <c r="AQ114" t="s">
        <v>1478</v>
      </c>
      <c r="AR114" t="s">
        <v>74</v>
      </c>
      <c r="AS114" t="s">
        <v>1063</v>
      </c>
      <c r="AT114" t="s">
        <v>1064</v>
      </c>
      <c r="AU114" t="s">
        <v>468</v>
      </c>
      <c r="AV114">
        <v>2004</v>
      </c>
      <c r="AW114">
        <v>72</v>
      </c>
      <c r="AX114" t="s">
        <v>1087</v>
      </c>
      <c r="AY114" t="s">
        <v>74</v>
      </c>
      <c r="AZ114" t="s">
        <v>74</v>
      </c>
      <c r="BA114" t="s">
        <v>74</v>
      </c>
      <c r="BB114" t="s">
        <v>74</v>
      </c>
      <c r="BC114">
        <v>133</v>
      </c>
      <c r="BD114">
        <v>147</v>
      </c>
      <c r="BE114" t="s">
        <v>74</v>
      </c>
      <c r="BF114" t="s">
        <v>1479</v>
      </c>
      <c r="BG114" t="s">
        <v>3182</v>
      </c>
      <c r="BH114" t="s">
        <v>74</v>
      </c>
      <c r="BI114" t="s">
        <v>74</v>
      </c>
      <c r="BJ114">
        <v>15</v>
      </c>
      <c r="BK114" t="s">
        <v>1066</v>
      </c>
      <c r="BL114" t="s">
        <v>1041</v>
      </c>
      <c r="BM114" t="s">
        <v>1066</v>
      </c>
      <c r="BN114" t="s">
        <v>1480</v>
      </c>
      <c r="BO114" t="s">
        <v>74</v>
      </c>
      <c r="BP114" t="s">
        <v>74</v>
      </c>
      <c r="BQ114" t="s">
        <v>74</v>
      </c>
      <c r="BR114" t="s">
        <v>74</v>
      </c>
      <c r="BS114" t="s">
        <v>86</v>
      </c>
      <c r="BT114" t="s">
        <v>1481</v>
      </c>
      <c r="BU114" t="s">
        <v>3164</v>
      </c>
    </row>
    <row r="115" spans="1:73" ht="85" x14ac:dyDescent="0.2">
      <c r="A115" t="s">
        <v>72</v>
      </c>
      <c r="B115" t="s">
        <v>1482</v>
      </c>
      <c r="C115" t="s">
        <v>74</v>
      </c>
      <c r="D115" t="s">
        <v>74</v>
      </c>
      <c r="E115" t="s">
        <v>74</v>
      </c>
      <c r="F115" t="s">
        <v>1482</v>
      </c>
      <c r="G115" t="s">
        <v>74</v>
      </c>
      <c r="H115" t="s">
        <v>74</v>
      </c>
      <c r="I115" t="s">
        <v>1483</v>
      </c>
      <c r="J115" t="s">
        <v>1484</v>
      </c>
      <c r="K115" t="s">
        <v>74</v>
      </c>
      <c r="L115" t="s">
        <v>74</v>
      </c>
      <c r="M115" t="s">
        <v>1025</v>
      </c>
      <c r="N115" t="s">
        <v>78</v>
      </c>
      <c r="O115" t="s">
        <v>74</v>
      </c>
      <c r="P115" t="s">
        <v>74</v>
      </c>
      <c r="Q115" t="s">
        <v>74</v>
      </c>
      <c r="R115" t="s">
        <v>74</v>
      </c>
      <c r="S115" t="s">
        <v>74</v>
      </c>
      <c r="T115" t="s">
        <v>74</v>
      </c>
      <c r="U115" t="s">
        <v>74</v>
      </c>
      <c r="V115" t="b">
        <v>0</v>
      </c>
      <c r="W115" s="1" t="s">
        <v>1485</v>
      </c>
      <c r="X115" t="s">
        <v>1486</v>
      </c>
      <c r="Y115" t="s">
        <v>1487</v>
      </c>
      <c r="Z115" t="s">
        <v>74</v>
      </c>
      <c r="AA115" t="s">
        <v>74</v>
      </c>
      <c r="AB115" t="s">
        <v>74</v>
      </c>
      <c r="AC115" t="s">
        <v>74</v>
      </c>
      <c r="AD115" t="s">
        <v>74</v>
      </c>
      <c r="AE115" t="s">
        <v>74</v>
      </c>
      <c r="AF115" t="s">
        <v>74</v>
      </c>
      <c r="AG115" t="s">
        <v>74</v>
      </c>
      <c r="AH115">
        <v>30</v>
      </c>
      <c r="AI115">
        <v>37</v>
      </c>
      <c r="AJ115">
        <v>39</v>
      </c>
      <c r="AK115">
        <v>0</v>
      </c>
      <c r="AL115">
        <v>1</v>
      </c>
      <c r="AM115" t="s">
        <v>1198</v>
      </c>
      <c r="AN115" t="s">
        <v>1199</v>
      </c>
      <c r="AO115" t="s">
        <v>1200</v>
      </c>
      <c r="AP115" t="s">
        <v>1488</v>
      </c>
      <c r="AQ115" t="s">
        <v>1489</v>
      </c>
      <c r="AR115" t="s">
        <v>74</v>
      </c>
      <c r="AS115" t="s">
        <v>1490</v>
      </c>
      <c r="AT115" t="s">
        <v>1491</v>
      </c>
      <c r="AU115" t="s">
        <v>74</v>
      </c>
      <c r="AV115">
        <v>1977</v>
      </c>
      <c r="AW115">
        <v>6</v>
      </c>
      <c r="AX115">
        <v>1</v>
      </c>
      <c r="AY115" t="s">
        <v>74</v>
      </c>
      <c r="AZ115" t="s">
        <v>74</v>
      </c>
      <c r="BA115" t="s">
        <v>74</v>
      </c>
      <c r="BB115" t="s">
        <v>74</v>
      </c>
      <c r="BC115">
        <v>93</v>
      </c>
      <c r="BD115">
        <v>100</v>
      </c>
      <c r="BE115" t="s">
        <v>74</v>
      </c>
      <c r="BF115" t="s">
        <v>1492</v>
      </c>
      <c r="BG115" t="s">
        <v>3183</v>
      </c>
      <c r="BH115" t="s">
        <v>74</v>
      </c>
      <c r="BI115" t="s">
        <v>74</v>
      </c>
      <c r="BJ115">
        <v>8</v>
      </c>
      <c r="BK115" t="s">
        <v>1493</v>
      </c>
      <c r="BL115" t="s">
        <v>1041</v>
      </c>
      <c r="BM115" t="s">
        <v>1494</v>
      </c>
      <c r="BN115" t="s">
        <v>1495</v>
      </c>
      <c r="BO115">
        <v>850692</v>
      </c>
      <c r="BP115" t="s">
        <v>74</v>
      </c>
      <c r="BQ115" t="s">
        <v>74</v>
      </c>
      <c r="BR115" t="s">
        <v>74</v>
      </c>
      <c r="BS115" t="s">
        <v>86</v>
      </c>
      <c r="BT115" t="s">
        <v>1496</v>
      </c>
      <c r="BU115" t="s">
        <v>3164</v>
      </c>
    </row>
    <row r="116" spans="1:73" ht="170" x14ac:dyDescent="0.2">
      <c r="A116" t="s">
        <v>72</v>
      </c>
      <c r="B116" t="s">
        <v>1497</v>
      </c>
      <c r="C116" t="s">
        <v>74</v>
      </c>
      <c r="D116" t="s">
        <v>74</v>
      </c>
      <c r="E116" t="s">
        <v>74</v>
      </c>
      <c r="F116" t="s">
        <v>1498</v>
      </c>
      <c r="G116" t="s">
        <v>74</v>
      </c>
      <c r="H116" t="s">
        <v>74</v>
      </c>
      <c r="I116" t="s">
        <v>1499</v>
      </c>
      <c r="J116" t="s">
        <v>1500</v>
      </c>
      <c r="K116" t="s">
        <v>74</v>
      </c>
      <c r="L116" t="s">
        <v>74</v>
      </c>
      <c r="M116" t="s">
        <v>1025</v>
      </c>
      <c r="N116" t="s">
        <v>78</v>
      </c>
      <c r="O116" t="s">
        <v>74</v>
      </c>
      <c r="P116" t="s">
        <v>74</v>
      </c>
      <c r="Q116" t="s">
        <v>74</v>
      </c>
      <c r="R116" t="s">
        <v>74</v>
      </c>
      <c r="S116" t="s">
        <v>74</v>
      </c>
      <c r="T116" t="s">
        <v>1501</v>
      </c>
      <c r="U116" t="s">
        <v>1502</v>
      </c>
      <c r="V116" t="b">
        <v>0</v>
      </c>
      <c r="W116" s="1" t="s">
        <v>1503</v>
      </c>
      <c r="X116" t="s">
        <v>1504</v>
      </c>
      <c r="Y116" t="s">
        <v>1505</v>
      </c>
      <c r="Z116" t="s">
        <v>1506</v>
      </c>
      <c r="AA116" t="s">
        <v>1507</v>
      </c>
      <c r="AB116" t="s">
        <v>1508</v>
      </c>
      <c r="AC116" t="s">
        <v>1509</v>
      </c>
      <c r="AD116" t="s">
        <v>1510</v>
      </c>
      <c r="AE116" t="s">
        <v>1511</v>
      </c>
      <c r="AF116" t="s">
        <v>1512</v>
      </c>
      <c r="AG116" t="s">
        <v>74</v>
      </c>
      <c r="AH116">
        <v>46</v>
      </c>
      <c r="AI116">
        <v>0</v>
      </c>
      <c r="AJ116">
        <v>0</v>
      </c>
      <c r="AK116">
        <v>5</v>
      </c>
      <c r="AL116">
        <v>6</v>
      </c>
      <c r="AM116" t="s">
        <v>1457</v>
      </c>
      <c r="AN116" t="s">
        <v>1458</v>
      </c>
      <c r="AO116" t="s">
        <v>1459</v>
      </c>
      <c r="AP116" t="s">
        <v>1513</v>
      </c>
      <c r="AQ116" t="s">
        <v>74</v>
      </c>
      <c r="AR116" t="s">
        <v>74</v>
      </c>
      <c r="AS116" t="s">
        <v>1514</v>
      </c>
      <c r="AT116" t="s">
        <v>1515</v>
      </c>
      <c r="AU116" t="s">
        <v>1516</v>
      </c>
      <c r="AV116">
        <v>2025</v>
      </c>
      <c r="AW116">
        <v>15</v>
      </c>
      <c r="AX116">
        <v>1</v>
      </c>
      <c r="AY116" t="s">
        <v>74</v>
      </c>
      <c r="AZ116" t="s">
        <v>74</v>
      </c>
      <c r="BA116" t="s">
        <v>74</v>
      </c>
      <c r="BB116" t="s">
        <v>74</v>
      </c>
      <c r="BC116" t="s">
        <v>74</v>
      </c>
      <c r="BD116" t="s">
        <v>74</v>
      </c>
      <c r="BE116">
        <v>37619</v>
      </c>
      <c r="BF116" t="s">
        <v>1517</v>
      </c>
      <c r="BG116" t="s">
        <v>3184</v>
      </c>
      <c r="BH116" t="s">
        <v>74</v>
      </c>
      <c r="BI116" t="s">
        <v>74</v>
      </c>
      <c r="BJ116">
        <v>11</v>
      </c>
      <c r="BK116" t="s">
        <v>1463</v>
      </c>
      <c r="BL116" t="s">
        <v>1041</v>
      </c>
      <c r="BM116" t="s">
        <v>1464</v>
      </c>
      <c r="BN116" t="s">
        <v>1518</v>
      </c>
      <c r="BO116">
        <v>41152333</v>
      </c>
      <c r="BP116" t="s">
        <v>1466</v>
      </c>
      <c r="BQ116" t="s">
        <v>74</v>
      </c>
      <c r="BR116" t="s">
        <v>74</v>
      </c>
      <c r="BS116" t="s">
        <v>86</v>
      </c>
      <c r="BT116" t="s">
        <v>1519</v>
      </c>
      <c r="BU116" t="s">
        <v>3164</v>
      </c>
    </row>
    <row r="117" spans="1:73" ht="187" x14ac:dyDescent="0.2">
      <c r="A117" t="s">
        <v>72</v>
      </c>
      <c r="B117" t="s">
        <v>136</v>
      </c>
      <c r="C117" t="s">
        <v>74</v>
      </c>
      <c r="D117" t="s">
        <v>74</v>
      </c>
      <c r="E117" t="s">
        <v>74</v>
      </c>
      <c r="F117" t="s">
        <v>137</v>
      </c>
      <c r="G117" t="s">
        <v>74</v>
      </c>
      <c r="H117" t="s">
        <v>74</v>
      </c>
      <c r="I117" t="s">
        <v>138</v>
      </c>
      <c r="J117" t="s">
        <v>139</v>
      </c>
      <c r="K117" t="s">
        <v>74</v>
      </c>
      <c r="L117" t="s">
        <v>74</v>
      </c>
      <c r="M117" t="s">
        <v>1025</v>
      </c>
      <c r="N117" t="s">
        <v>78</v>
      </c>
      <c r="O117" t="s">
        <v>74</v>
      </c>
      <c r="P117" t="s">
        <v>74</v>
      </c>
      <c r="Q117" t="s">
        <v>74</v>
      </c>
      <c r="R117" t="s">
        <v>74</v>
      </c>
      <c r="S117" t="s">
        <v>74</v>
      </c>
      <c r="T117" t="s">
        <v>1520</v>
      </c>
      <c r="U117" t="s">
        <v>74</v>
      </c>
      <c r="V117" t="b">
        <v>1</v>
      </c>
      <c r="W117" s="1" t="s">
        <v>140</v>
      </c>
      <c r="X117" t="s">
        <v>141</v>
      </c>
      <c r="Y117" t="s">
        <v>1521</v>
      </c>
      <c r="Z117" t="s">
        <v>142</v>
      </c>
      <c r="AA117" t="s">
        <v>143</v>
      </c>
      <c r="AB117" t="s">
        <v>74</v>
      </c>
      <c r="AC117" t="s">
        <v>74</v>
      </c>
      <c r="AD117" t="s">
        <v>1522</v>
      </c>
      <c r="AE117" t="s">
        <v>1523</v>
      </c>
      <c r="AF117" t="s">
        <v>1524</v>
      </c>
      <c r="AG117" t="s">
        <v>74</v>
      </c>
      <c r="AH117">
        <v>54</v>
      </c>
      <c r="AI117">
        <v>0</v>
      </c>
      <c r="AJ117">
        <v>0</v>
      </c>
      <c r="AK117">
        <v>4</v>
      </c>
      <c r="AL117">
        <v>4</v>
      </c>
      <c r="AM117" t="s">
        <v>1315</v>
      </c>
      <c r="AN117" t="s">
        <v>1316</v>
      </c>
      <c r="AO117" t="s">
        <v>1317</v>
      </c>
      <c r="AP117" t="s">
        <v>1525</v>
      </c>
      <c r="AQ117" t="s">
        <v>1526</v>
      </c>
      <c r="AR117" t="s">
        <v>74</v>
      </c>
      <c r="AS117" t="s">
        <v>1527</v>
      </c>
      <c r="AT117" t="s">
        <v>1528</v>
      </c>
      <c r="AU117" t="s">
        <v>144</v>
      </c>
      <c r="AV117">
        <v>2026</v>
      </c>
      <c r="AW117">
        <v>551</v>
      </c>
      <c r="AX117" t="s">
        <v>74</v>
      </c>
      <c r="AY117" t="s">
        <v>74</v>
      </c>
      <c r="AZ117" t="s">
        <v>74</v>
      </c>
      <c r="BA117" t="s">
        <v>74</v>
      </c>
      <c r="BB117" t="s">
        <v>74</v>
      </c>
      <c r="BC117" t="s">
        <v>74</v>
      </c>
      <c r="BD117" t="s">
        <v>74</v>
      </c>
      <c r="BE117">
        <v>147885</v>
      </c>
      <c r="BF117" t="s">
        <v>145</v>
      </c>
      <c r="BG117" t="s">
        <v>3185</v>
      </c>
      <c r="BH117" t="s">
        <v>74</v>
      </c>
      <c r="BI117" t="s">
        <v>74</v>
      </c>
      <c r="BJ117">
        <v>12</v>
      </c>
      <c r="BK117" t="s">
        <v>1529</v>
      </c>
      <c r="BL117" t="s">
        <v>1041</v>
      </c>
      <c r="BM117" t="s">
        <v>1530</v>
      </c>
      <c r="BN117" t="s">
        <v>1531</v>
      </c>
      <c r="BO117" t="s">
        <v>74</v>
      </c>
      <c r="BP117" t="s">
        <v>74</v>
      </c>
      <c r="BQ117" t="s">
        <v>74</v>
      </c>
      <c r="BR117" t="s">
        <v>74</v>
      </c>
      <c r="BS117" t="s">
        <v>86</v>
      </c>
      <c r="BT117" t="s">
        <v>146</v>
      </c>
      <c r="BU117" t="s">
        <v>3164</v>
      </c>
    </row>
    <row r="118" spans="1:73" ht="17" x14ac:dyDescent="0.2">
      <c r="A118" t="s">
        <v>72</v>
      </c>
      <c r="B118" t="s">
        <v>1532</v>
      </c>
      <c r="C118" t="s">
        <v>74</v>
      </c>
      <c r="D118" t="s">
        <v>74</v>
      </c>
      <c r="E118" t="s">
        <v>74</v>
      </c>
      <c r="F118" t="s">
        <v>1533</v>
      </c>
      <c r="G118" t="s">
        <v>74</v>
      </c>
      <c r="H118" t="s">
        <v>74</v>
      </c>
      <c r="I118" t="s">
        <v>1534</v>
      </c>
      <c r="J118" t="s">
        <v>1535</v>
      </c>
      <c r="K118" t="s">
        <v>74</v>
      </c>
      <c r="L118" t="s">
        <v>74</v>
      </c>
      <c r="M118" t="s">
        <v>1025</v>
      </c>
      <c r="N118" t="s">
        <v>1536</v>
      </c>
      <c r="O118" t="s">
        <v>74</v>
      </c>
      <c r="P118" t="s">
        <v>74</v>
      </c>
      <c r="Q118" t="s">
        <v>74</v>
      </c>
      <c r="R118" t="s">
        <v>74</v>
      </c>
      <c r="S118" t="s">
        <v>74</v>
      </c>
      <c r="T118" t="s">
        <v>74</v>
      </c>
      <c r="U118" t="s">
        <v>1537</v>
      </c>
      <c r="V118" t="s">
        <v>3264</v>
      </c>
      <c r="W118" s="1" t="s">
        <v>74</v>
      </c>
      <c r="X118" t="s">
        <v>1538</v>
      </c>
      <c r="Y118" t="s">
        <v>1539</v>
      </c>
      <c r="Z118" t="s">
        <v>1540</v>
      </c>
      <c r="AA118" t="s">
        <v>74</v>
      </c>
      <c r="AB118" t="s">
        <v>74</v>
      </c>
      <c r="AC118" t="s">
        <v>74</v>
      </c>
      <c r="AD118" t="s">
        <v>74</v>
      </c>
      <c r="AE118" t="s">
        <v>74</v>
      </c>
      <c r="AF118" t="s">
        <v>74</v>
      </c>
      <c r="AG118" t="s">
        <v>74</v>
      </c>
      <c r="AH118">
        <v>32</v>
      </c>
      <c r="AI118">
        <v>12</v>
      </c>
      <c r="AJ118">
        <v>12</v>
      </c>
      <c r="AK118">
        <v>0</v>
      </c>
      <c r="AL118">
        <v>0</v>
      </c>
      <c r="AM118" t="s">
        <v>1541</v>
      </c>
      <c r="AN118" t="s">
        <v>1542</v>
      </c>
      <c r="AO118" t="s">
        <v>1543</v>
      </c>
      <c r="AP118" t="s">
        <v>1544</v>
      </c>
      <c r="AQ118" t="s">
        <v>74</v>
      </c>
      <c r="AR118" t="s">
        <v>74</v>
      </c>
      <c r="AS118" t="s">
        <v>1545</v>
      </c>
      <c r="AT118" t="s">
        <v>1546</v>
      </c>
      <c r="AU118" t="s">
        <v>269</v>
      </c>
      <c r="AV118">
        <v>2008</v>
      </c>
      <c r="AW118">
        <v>69</v>
      </c>
      <c r="AX118">
        <v>3</v>
      </c>
      <c r="AY118" t="s">
        <v>74</v>
      </c>
      <c r="AZ118" t="s">
        <v>74</v>
      </c>
      <c r="BA118" t="s">
        <v>74</v>
      </c>
      <c r="BB118" t="s">
        <v>74</v>
      </c>
      <c r="BC118">
        <v>497</v>
      </c>
      <c r="BD118">
        <v>498</v>
      </c>
      <c r="BE118" t="s">
        <v>74</v>
      </c>
      <c r="BF118" t="s">
        <v>1547</v>
      </c>
      <c r="BG118" t="s">
        <v>3186</v>
      </c>
      <c r="BH118" t="s">
        <v>74</v>
      </c>
      <c r="BI118" t="s">
        <v>74</v>
      </c>
      <c r="BJ118">
        <v>2</v>
      </c>
      <c r="BK118" t="s">
        <v>1548</v>
      </c>
      <c r="BL118" t="s">
        <v>1549</v>
      </c>
      <c r="BM118" t="s">
        <v>1550</v>
      </c>
      <c r="BN118" t="s">
        <v>1551</v>
      </c>
      <c r="BO118">
        <v>18402501</v>
      </c>
      <c r="BP118" t="s">
        <v>1552</v>
      </c>
      <c r="BQ118" t="s">
        <v>74</v>
      </c>
      <c r="BR118" t="s">
        <v>74</v>
      </c>
      <c r="BS118" t="s">
        <v>86</v>
      </c>
      <c r="BT118" t="s">
        <v>1553</v>
      </c>
      <c r="BU118" t="s">
        <v>3164</v>
      </c>
    </row>
    <row r="119" spans="1:73" ht="17" x14ac:dyDescent="0.2">
      <c r="A119" t="s">
        <v>72</v>
      </c>
      <c r="B119" t="s">
        <v>1388</v>
      </c>
      <c r="C119" t="s">
        <v>74</v>
      </c>
      <c r="D119" t="s">
        <v>74</v>
      </c>
      <c r="E119" t="s">
        <v>74</v>
      </c>
      <c r="F119" t="s">
        <v>1388</v>
      </c>
      <c r="G119" t="s">
        <v>74</v>
      </c>
      <c r="H119" t="s">
        <v>74</v>
      </c>
      <c r="I119" t="s">
        <v>1554</v>
      </c>
      <c r="J119" t="s">
        <v>1555</v>
      </c>
      <c r="K119" t="s">
        <v>74</v>
      </c>
      <c r="L119" t="s">
        <v>74</v>
      </c>
      <c r="M119" t="s">
        <v>1025</v>
      </c>
      <c r="N119" t="s">
        <v>337</v>
      </c>
      <c r="O119" t="s">
        <v>1556</v>
      </c>
      <c r="P119" t="s">
        <v>1557</v>
      </c>
      <c r="Q119" t="s">
        <v>1558</v>
      </c>
      <c r="R119" t="s">
        <v>1559</v>
      </c>
      <c r="S119" t="s">
        <v>1560</v>
      </c>
      <c r="T119" t="s">
        <v>74</v>
      </c>
      <c r="U119" t="s">
        <v>1561</v>
      </c>
      <c r="V119" t="s">
        <v>3264</v>
      </c>
      <c r="W119" s="1" t="s">
        <v>74</v>
      </c>
      <c r="X119" t="s">
        <v>74</v>
      </c>
      <c r="Y119" t="s">
        <v>74</v>
      </c>
      <c r="Z119" t="s">
        <v>1562</v>
      </c>
      <c r="AA119" t="s">
        <v>74</v>
      </c>
      <c r="AB119" t="s">
        <v>1398</v>
      </c>
      <c r="AC119" t="s">
        <v>1399</v>
      </c>
      <c r="AD119" t="s">
        <v>1400</v>
      </c>
      <c r="AE119" t="s">
        <v>1401</v>
      </c>
      <c r="AF119" t="s">
        <v>74</v>
      </c>
      <c r="AG119" t="s">
        <v>74</v>
      </c>
      <c r="AH119">
        <v>23</v>
      </c>
      <c r="AI119">
        <v>5</v>
      </c>
      <c r="AJ119">
        <v>5</v>
      </c>
      <c r="AK119">
        <v>0</v>
      </c>
      <c r="AL119">
        <v>1</v>
      </c>
      <c r="AM119" t="s">
        <v>1563</v>
      </c>
      <c r="AN119" t="s">
        <v>1564</v>
      </c>
      <c r="AO119" t="s">
        <v>1565</v>
      </c>
      <c r="AP119" t="s">
        <v>1566</v>
      </c>
      <c r="AQ119" t="s">
        <v>74</v>
      </c>
      <c r="AR119" t="s">
        <v>74</v>
      </c>
      <c r="AS119" t="s">
        <v>1567</v>
      </c>
      <c r="AT119" t="s">
        <v>1568</v>
      </c>
      <c r="AU119" t="s">
        <v>74</v>
      </c>
      <c r="AV119">
        <v>1992</v>
      </c>
      <c r="AW119">
        <v>71</v>
      </c>
      <c r="AX119" t="s">
        <v>74</v>
      </c>
      <c r="AY119" t="s">
        <v>74</v>
      </c>
      <c r="AZ119">
        <v>1</v>
      </c>
      <c r="BA119" t="s">
        <v>74</v>
      </c>
      <c r="BB119" t="s">
        <v>74</v>
      </c>
      <c r="BC119">
        <v>42</v>
      </c>
      <c r="BD119">
        <v>48</v>
      </c>
      <c r="BE119" t="s">
        <v>74</v>
      </c>
      <c r="BF119" t="s">
        <v>1569</v>
      </c>
      <c r="BG119" t="s">
        <v>3187</v>
      </c>
      <c r="BH119" t="s">
        <v>74</v>
      </c>
      <c r="BI119" t="s">
        <v>74</v>
      </c>
      <c r="BJ119">
        <v>7</v>
      </c>
      <c r="BK119" t="s">
        <v>1570</v>
      </c>
      <c r="BL119" t="s">
        <v>1409</v>
      </c>
      <c r="BM119" t="s">
        <v>1570</v>
      </c>
      <c r="BN119" t="s">
        <v>1571</v>
      </c>
      <c r="BO119">
        <v>1336197</v>
      </c>
      <c r="BP119" t="s">
        <v>74</v>
      </c>
      <c r="BQ119" t="s">
        <v>74</v>
      </c>
      <c r="BR119" t="s">
        <v>74</v>
      </c>
      <c r="BS119" t="s">
        <v>86</v>
      </c>
      <c r="BT119" t="s">
        <v>1572</v>
      </c>
      <c r="BU119" t="s">
        <v>3164</v>
      </c>
    </row>
    <row r="120" spans="1:73" ht="85" x14ac:dyDescent="0.2">
      <c r="A120" t="s">
        <v>72</v>
      </c>
      <c r="B120" t="s">
        <v>1573</v>
      </c>
      <c r="C120" t="s">
        <v>74</v>
      </c>
      <c r="D120" t="s">
        <v>74</v>
      </c>
      <c r="E120" t="s">
        <v>74</v>
      </c>
      <c r="F120" t="s">
        <v>1574</v>
      </c>
      <c r="G120" t="s">
        <v>74</v>
      </c>
      <c r="H120" t="s">
        <v>74</v>
      </c>
      <c r="I120" t="s">
        <v>1575</v>
      </c>
      <c r="J120" t="s">
        <v>1576</v>
      </c>
      <c r="K120" t="s">
        <v>74</v>
      </c>
      <c r="L120" t="s">
        <v>74</v>
      </c>
      <c r="M120" t="s">
        <v>1025</v>
      </c>
      <c r="N120" t="s">
        <v>78</v>
      </c>
      <c r="O120" t="s">
        <v>74</v>
      </c>
      <c r="P120" t="s">
        <v>74</v>
      </c>
      <c r="Q120" t="s">
        <v>74</v>
      </c>
      <c r="R120" t="s">
        <v>74</v>
      </c>
      <c r="S120" t="s">
        <v>74</v>
      </c>
      <c r="T120" t="s">
        <v>1577</v>
      </c>
      <c r="U120" t="s">
        <v>1578</v>
      </c>
      <c r="V120" t="b">
        <v>0</v>
      </c>
      <c r="W120" s="1" t="s">
        <v>1579</v>
      </c>
      <c r="X120" t="s">
        <v>1580</v>
      </c>
      <c r="Y120" t="s">
        <v>1581</v>
      </c>
      <c r="Z120" t="s">
        <v>1582</v>
      </c>
      <c r="AA120" t="s">
        <v>1583</v>
      </c>
      <c r="AB120" t="s">
        <v>1584</v>
      </c>
      <c r="AC120" t="s">
        <v>74</v>
      </c>
      <c r="AD120" t="s">
        <v>1585</v>
      </c>
      <c r="AE120" t="s">
        <v>1586</v>
      </c>
      <c r="AF120" t="s">
        <v>1587</v>
      </c>
      <c r="AG120" t="s">
        <v>74</v>
      </c>
      <c r="AH120">
        <v>16</v>
      </c>
      <c r="AI120">
        <v>0</v>
      </c>
      <c r="AJ120">
        <v>0</v>
      </c>
      <c r="AK120">
        <v>1</v>
      </c>
      <c r="AL120">
        <v>25</v>
      </c>
      <c r="AM120" t="s">
        <v>1588</v>
      </c>
      <c r="AN120" t="s">
        <v>1589</v>
      </c>
      <c r="AO120" t="s">
        <v>1590</v>
      </c>
      <c r="AP120" t="s">
        <v>1591</v>
      </c>
      <c r="AQ120" t="s">
        <v>1592</v>
      </c>
      <c r="AR120" t="s">
        <v>74</v>
      </c>
      <c r="AS120" t="s">
        <v>1593</v>
      </c>
      <c r="AT120" t="s">
        <v>1594</v>
      </c>
      <c r="AU120" t="s">
        <v>120</v>
      </c>
      <c r="AV120">
        <v>2017</v>
      </c>
      <c r="AW120">
        <v>27</v>
      </c>
      <c r="AX120">
        <v>2</v>
      </c>
      <c r="AY120" t="s">
        <v>74</v>
      </c>
      <c r="AZ120" t="s">
        <v>74</v>
      </c>
      <c r="BA120" t="s">
        <v>74</v>
      </c>
      <c r="BB120" t="s">
        <v>74</v>
      </c>
      <c r="BC120" t="s">
        <v>74</v>
      </c>
      <c r="BD120" t="s">
        <v>74</v>
      </c>
      <c r="BE120">
        <v>26101</v>
      </c>
      <c r="BF120" t="s">
        <v>1595</v>
      </c>
      <c r="BG120" t="s">
        <v>3188</v>
      </c>
      <c r="BH120" t="s">
        <v>74</v>
      </c>
      <c r="BI120" t="s">
        <v>74</v>
      </c>
      <c r="BJ120">
        <v>4</v>
      </c>
      <c r="BK120" t="s">
        <v>1596</v>
      </c>
      <c r="BL120" t="s">
        <v>1041</v>
      </c>
      <c r="BM120" t="s">
        <v>1597</v>
      </c>
      <c r="BN120" t="s">
        <v>1598</v>
      </c>
      <c r="BO120" t="s">
        <v>74</v>
      </c>
      <c r="BP120" t="s">
        <v>74</v>
      </c>
      <c r="BQ120" t="s">
        <v>74</v>
      </c>
      <c r="BR120" t="s">
        <v>74</v>
      </c>
      <c r="BS120" t="s">
        <v>86</v>
      </c>
      <c r="BT120" t="s">
        <v>1599</v>
      </c>
      <c r="BU120" t="s">
        <v>3164</v>
      </c>
    </row>
    <row r="121" spans="1:73" ht="153" x14ac:dyDescent="0.2">
      <c r="A121" t="s">
        <v>72</v>
      </c>
      <c r="B121" t="s">
        <v>1600</v>
      </c>
      <c r="C121" t="s">
        <v>74</v>
      </c>
      <c r="D121" t="s">
        <v>74</v>
      </c>
      <c r="E121" t="s">
        <v>74</v>
      </c>
      <c r="F121" t="s">
        <v>1601</v>
      </c>
      <c r="G121" t="s">
        <v>74</v>
      </c>
      <c r="H121" t="s">
        <v>74</v>
      </c>
      <c r="I121" t="s">
        <v>1602</v>
      </c>
      <c r="J121" t="s">
        <v>1603</v>
      </c>
      <c r="K121" t="s">
        <v>74</v>
      </c>
      <c r="L121" t="s">
        <v>74</v>
      </c>
      <c r="M121" t="s">
        <v>1025</v>
      </c>
      <c r="N121" t="s">
        <v>78</v>
      </c>
      <c r="O121" t="s">
        <v>74</v>
      </c>
      <c r="P121" t="s">
        <v>74</v>
      </c>
      <c r="Q121" t="s">
        <v>74</v>
      </c>
      <c r="R121" t="s">
        <v>74</v>
      </c>
      <c r="S121" t="s">
        <v>74</v>
      </c>
      <c r="T121" t="s">
        <v>1604</v>
      </c>
      <c r="U121" t="s">
        <v>1605</v>
      </c>
      <c r="V121" t="b">
        <v>0</v>
      </c>
      <c r="W121" s="1" t="s">
        <v>1606</v>
      </c>
      <c r="X121" t="s">
        <v>1607</v>
      </c>
      <c r="Y121" t="s">
        <v>1608</v>
      </c>
      <c r="Z121" t="s">
        <v>1609</v>
      </c>
      <c r="AA121" t="s">
        <v>1610</v>
      </c>
      <c r="AB121" t="s">
        <v>1611</v>
      </c>
      <c r="AC121" t="s">
        <v>1612</v>
      </c>
      <c r="AD121" t="s">
        <v>1613</v>
      </c>
      <c r="AE121" t="s">
        <v>1614</v>
      </c>
      <c r="AF121" t="s">
        <v>1615</v>
      </c>
      <c r="AG121" t="s">
        <v>74</v>
      </c>
      <c r="AH121">
        <v>41</v>
      </c>
      <c r="AI121">
        <v>11</v>
      </c>
      <c r="AJ121">
        <v>13</v>
      </c>
      <c r="AK121">
        <v>0</v>
      </c>
      <c r="AL121">
        <v>17</v>
      </c>
      <c r="AM121" t="s">
        <v>1153</v>
      </c>
      <c r="AN121" t="s">
        <v>1129</v>
      </c>
      <c r="AO121" t="s">
        <v>1154</v>
      </c>
      <c r="AP121" t="s">
        <v>1616</v>
      </c>
      <c r="AQ121" t="s">
        <v>1617</v>
      </c>
      <c r="AR121" t="s">
        <v>74</v>
      </c>
      <c r="AS121" t="s">
        <v>1603</v>
      </c>
      <c r="AT121" t="s">
        <v>1618</v>
      </c>
      <c r="AU121" t="s">
        <v>179</v>
      </c>
      <c r="AV121">
        <v>2017</v>
      </c>
      <c r="AW121">
        <v>34</v>
      </c>
      <c r="AX121">
        <v>12</v>
      </c>
      <c r="AY121" t="s">
        <v>74</v>
      </c>
      <c r="AZ121" t="s">
        <v>74</v>
      </c>
      <c r="BA121" t="s">
        <v>74</v>
      </c>
      <c r="BB121" t="s">
        <v>74</v>
      </c>
      <c r="BC121">
        <v>483</v>
      </c>
      <c r="BD121">
        <v>494</v>
      </c>
      <c r="BE121" t="s">
        <v>74</v>
      </c>
      <c r="BF121" t="s">
        <v>1619</v>
      </c>
      <c r="BG121" t="s">
        <v>3189</v>
      </c>
      <c r="BH121" t="s">
        <v>74</v>
      </c>
      <c r="BI121" t="s">
        <v>74</v>
      </c>
      <c r="BJ121">
        <v>12</v>
      </c>
      <c r="BK121" t="s">
        <v>1620</v>
      </c>
      <c r="BL121" t="s">
        <v>1041</v>
      </c>
      <c r="BM121" t="s">
        <v>1620</v>
      </c>
      <c r="BN121" t="s">
        <v>1621</v>
      </c>
      <c r="BO121">
        <v>28810289</v>
      </c>
      <c r="BP121" t="s">
        <v>74</v>
      </c>
      <c r="BQ121" t="s">
        <v>74</v>
      </c>
      <c r="BR121" t="s">
        <v>74</v>
      </c>
      <c r="BS121" t="s">
        <v>86</v>
      </c>
      <c r="BT121" t="s">
        <v>1622</v>
      </c>
      <c r="BU121" t="s">
        <v>3164</v>
      </c>
    </row>
    <row r="122" spans="1:73" ht="187" x14ac:dyDescent="0.2">
      <c r="A122" t="s">
        <v>72</v>
      </c>
      <c r="B122" t="s">
        <v>1623</v>
      </c>
      <c r="C122" t="s">
        <v>74</v>
      </c>
      <c r="D122" t="s">
        <v>74</v>
      </c>
      <c r="E122" t="s">
        <v>74</v>
      </c>
      <c r="F122" t="s">
        <v>1623</v>
      </c>
      <c r="G122" t="s">
        <v>74</v>
      </c>
      <c r="H122" t="s">
        <v>74</v>
      </c>
      <c r="I122" t="s">
        <v>1624</v>
      </c>
      <c r="J122" t="s">
        <v>1625</v>
      </c>
      <c r="K122" t="s">
        <v>74</v>
      </c>
      <c r="L122" t="s">
        <v>74</v>
      </c>
      <c r="M122" t="s">
        <v>1025</v>
      </c>
      <c r="N122" t="s">
        <v>78</v>
      </c>
      <c r="O122" t="s">
        <v>74</v>
      </c>
      <c r="P122" t="s">
        <v>74</v>
      </c>
      <c r="Q122" t="s">
        <v>74</v>
      </c>
      <c r="R122" t="s">
        <v>74</v>
      </c>
      <c r="S122" t="s">
        <v>74</v>
      </c>
      <c r="T122" t="s">
        <v>74</v>
      </c>
      <c r="U122" t="s">
        <v>1626</v>
      </c>
      <c r="V122" t="b">
        <v>0</v>
      </c>
      <c r="W122" s="1" t="s">
        <v>1627</v>
      </c>
      <c r="X122" t="s">
        <v>1628</v>
      </c>
      <c r="Y122" t="s">
        <v>1629</v>
      </c>
      <c r="Z122" t="s">
        <v>1630</v>
      </c>
      <c r="AA122" t="s">
        <v>1631</v>
      </c>
      <c r="AB122" t="s">
        <v>74</v>
      </c>
      <c r="AC122" t="s">
        <v>74</v>
      </c>
      <c r="AD122" t="s">
        <v>1632</v>
      </c>
      <c r="AE122" t="s">
        <v>1633</v>
      </c>
      <c r="AF122" t="s">
        <v>74</v>
      </c>
      <c r="AG122" t="s">
        <v>74</v>
      </c>
      <c r="AH122">
        <v>40</v>
      </c>
      <c r="AI122">
        <v>43</v>
      </c>
      <c r="AJ122">
        <v>44</v>
      </c>
      <c r="AK122">
        <v>0</v>
      </c>
      <c r="AL122">
        <v>6</v>
      </c>
      <c r="AM122" t="s">
        <v>1033</v>
      </c>
      <c r="AN122" t="s">
        <v>1034</v>
      </c>
      <c r="AO122" t="s">
        <v>1035</v>
      </c>
      <c r="AP122" t="s">
        <v>1634</v>
      </c>
      <c r="AQ122" t="s">
        <v>1635</v>
      </c>
      <c r="AR122" t="s">
        <v>74</v>
      </c>
      <c r="AS122" t="s">
        <v>1636</v>
      </c>
      <c r="AT122" t="s">
        <v>1637</v>
      </c>
      <c r="AU122" t="s">
        <v>179</v>
      </c>
      <c r="AV122">
        <v>2005</v>
      </c>
      <c r="AW122">
        <v>315</v>
      </c>
      <c r="AX122">
        <v>3</v>
      </c>
      <c r="AY122" t="s">
        <v>74</v>
      </c>
      <c r="AZ122" t="s">
        <v>74</v>
      </c>
      <c r="BA122" t="s">
        <v>74</v>
      </c>
      <c r="BB122" t="s">
        <v>74</v>
      </c>
      <c r="BC122">
        <v>1163</v>
      </c>
      <c r="BD122">
        <v>1171</v>
      </c>
      <c r="BE122" t="s">
        <v>74</v>
      </c>
      <c r="BF122" t="s">
        <v>1638</v>
      </c>
      <c r="BG122" t="s">
        <v>3190</v>
      </c>
      <c r="BH122" t="s">
        <v>74</v>
      </c>
      <c r="BI122" t="s">
        <v>74</v>
      </c>
      <c r="BJ122">
        <v>9</v>
      </c>
      <c r="BK122" t="s">
        <v>1089</v>
      </c>
      <c r="BL122" t="s">
        <v>1041</v>
      </c>
      <c r="BM122" t="s">
        <v>1089</v>
      </c>
      <c r="BN122" t="s">
        <v>1639</v>
      </c>
      <c r="BO122">
        <v>16123308</v>
      </c>
      <c r="BP122" t="s">
        <v>74</v>
      </c>
      <c r="BQ122" t="s">
        <v>74</v>
      </c>
      <c r="BR122" t="s">
        <v>74</v>
      </c>
      <c r="BS122" t="s">
        <v>86</v>
      </c>
      <c r="BT122" t="s">
        <v>1640</v>
      </c>
      <c r="BU122" t="s">
        <v>3164</v>
      </c>
    </row>
    <row r="123" spans="1:73" ht="170" x14ac:dyDescent="0.2">
      <c r="A123" t="s">
        <v>72</v>
      </c>
      <c r="B123" t="s">
        <v>1641</v>
      </c>
      <c r="C123" t="s">
        <v>74</v>
      </c>
      <c r="D123" t="s">
        <v>74</v>
      </c>
      <c r="E123" t="s">
        <v>74</v>
      </c>
      <c r="F123" t="s">
        <v>1642</v>
      </c>
      <c r="G123" t="s">
        <v>74</v>
      </c>
      <c r="H123" t="s">
        <v>74</v>
      </c>
      <c r="I123" t="s">
        <v>1643</v>
      </c>
      <c r="J123" t="s">
        <v>1644</v>
      </c>
      <c r="K123" t="s">
        <v>74</v>
      </c>
      <c r="L123" t="s">
        <v>74</v>
      </c>
      <c r="M123" t="s">
        <v>1025</v>
      </c>
      <c r="N123" t="s">
        <v>78</v>
      </c>
      <c r="O123" t="s">
        <v>74</v>
      </c>
      <c r="P123" t="s">
        <v>74</v>
      </c>
      <c r="Q123" t="s">
        <v>74</v>
      </c>
      <c r="R123" t="s">
        <v>74</v>
      </c>
      <c r="S123" t="s">
        <v>74</v>
      </c>
      <c r="T123" t="s">
        <v>74</v>
      </c>
      <c r="U123" t="s">
        <v>1645</v>
      </c>
      <c r="V123" t="b">
        <v>0</v>
      </c>
      <c r="W123" s="1" t="s">
        <v>1646</v>
      </c>
      <c r="X123" t="s">
        <v>1647</v>
      </c>
      <c r="Y123" t="s">
        <v>1648</v>
      </c>
      <c r="Z123" t="s">
        <v>1649</v>
      </c>
      <c r="AA123" t="s">
        <v>1650</v>
      </c>
      <c r="AB123" t="s">
        <v>1651</v>
      </c>
      <c r="AC123" t="s">
        <v>1652</v>
      </c>
      <c r="AD123" t="s">
        <v>1653</v>
      </c>
      <c r="AE123" t="s">
        <v>1654</v>
      </c>
      <c r="AF123" t="s">
        <v>1655</v>
      </c>
      <c r="AG123" t="s">
        <v>74</v>
      </c>
      <c r="AH123">
        <v>37</v>
      </c>
      <c r="AI123">
        <v>116</v>
      </c>
      <c r="AJ123">
        <v>136</v>
      </c>
      <c r="AK123">
        <v>0</v>
      </c>
      <c r="AL123">
        <v>45</v>
      </c>
      <c r="AM123" t="s">
        <v>1656</v>
      </c>
      <c r="AN123" t="s">
        <v>1657</v>
      </c>
      <c r="AO123" t="s">
        <v>1658</v>
      </c>
      <c r="AP123" t="s">
        <v>1659</v>
      </c>
      <c r="AQ123" t="s">
        <v>74</v>
      </c>
      <c r="AR123" t="s">
        <v>74</v>
      </c>
      <c r="AS123" t="s">
        <v>1644</v>
      </c>
      <c r="AT123" t="s">
        <v>1660</v>
      </c>
      <c r="AU123" t="s">
        <v>1661</v>
      </c>
      <c r="AV123">
        <v>2012</v>
      </c>
      <c r="AW123">
        <v>7</v>
      </c>
      <c r="AX123">
        <v>3</v>
      </c>
      <c r="AY123" t="s">
        <v>74</v>
      </c>
      <c r="AZ123" t="s">
        <v>74</v>
      </c>
      <c r="BA123" t="s">
        <v>74</v>
      </c>
      <c r="BB123" t="s">
        <v>74</v>
      </c>
      <c r="BC123" t="s">
        <v>74</v>
      </c>
      <c r="BD123" t="s">
        <v>74</v>
      </c>
      <c r="BE123" t="s">
        <v>1662</v>
      </c>
      <c r="BF123" t="s">
        <v>1663</v>
      </c>
      <c r="BG123" t="s">
        <v>3191</v>
      </c>
      <c r="BH123" t="s">
        <v>74</v>
      </c>
      <c r="BI123" t="s">
        <v>74</v>
      </c>
      <c r="BJ123">
        <v>8</v>
      </c>
      <c r="BK123" t="s">
        <v>1463</v>
      </c>
      <c r="BL123" t="s">
        <v>1041</v>
      </c>
      <c r="BM123" t="s">
        <v>1464</v>
      </c>
      <c r="BN123" t="s">
        <v>1664</v>
      </c>
      <c r="BO123">
        <v>22428012</v>
      </c>
      <c r="BP123" t="s">
        <v>1466</v>
      </c>
      <c r="BQ123" t="s">
        <v>74</v>
      </c>
      <c r="BR123" t="s">
        <v>74</v>
      </c>
      <c r="BS123" t="s">
        <v>86</v>
      </c>
      <c r="BT123" t="s">
        <v>1665</v>
      </c>
      <c r="BU123" t="s">
        <v>3164</v>
      </c>
    </row>
    <row r="124" spans="1:73" ht="170" x14ac:dyDescent="0.2">
      <c r="A124" t="s">
        <v>72</v>
      </c>
      <c r="B124" t="s">
        <v>1666</v>
      </c>
      <c r="C124" t="s">
        <v>74</v>
      </c>
      <c r="D124" t="s">
        <v>74</v>
      </c>
      <c r="E124" t="s">
        <v>74</v>
      </c>
      <c r="F124" t="s">
        <v>1667</v>
      </c>
      <c r="G124" t="s">
        <v>74</v>
      </c>
      <c r="H124" t="s">
        <v>74</v>
      </c>
      <c r="I124" t="s">
        <v>1668</v>
      </c>
      <c r="J124" t="s">
        <v>1669</v>
      </c>
      <c r="K124" t="s">
        <v>74</v>
      </c>
      <c r="L124" t="s">
        <v>74</v>
      </c>
      <c r="M124" t="s">
        <v>1025</v>
      </c>
      <c r="N124" t="s">
        <v>452</v>
      </c>
      <c r="O124" t="s">
        <v>74</v>
      </c>
      <c r="P124" t="s">
        <v>74</v>
      </c>
      <c r="Q124" t="s">
        <v>74</v>
      </c>
      <c r="R124" t="s">
        <v>74</v>
      </c>
      <c r="S124" t="s">
        <v>74</v>
      </c>
      <c r="T124" t="s">
        <v>1670</v>
      </c>
      <c r="U124" t="s">
        <v>1671</v>
      </c>
      <c r="V124" t="b">
        <v>0</v>
      </c>
      <c r="W124" s="1" t="s">
        <v>1672</v>
      </c>
      <c r="X124" t="s">
        <v>1673</v>
      </c>
      <c r="Y124" t="s">
        <v>1674</v>
      </c>
      <c r="Z124" t="s">
        <v>1675</v>
      </c>
      <c r="AA124" t="s">
        <v>1676</v>
      </c>
      <c r="AB124" t="s">
        <v>1677</v>
      </c>
      <c r="AC124" t="s">
        <v>1678</v>
      </c>
      <c r="AD124" t="s">
        <v>74</v>
      </c>
      <c r="AE124" t="s">
        <v>74</v>
      </c>
      <c r="AF124" t="s">
        <v>74</v>
      </c>
      <c r="AG124" t="s">
        <v>74</v>
      </c>
      <c r="AH124">
        <v>102</v>
      </c>
      <c r="AI124">
        <v>14</v>
      </c>
      <c r="AJ124">
        <v>17</v>
      </c>
      <c r="AK124">
        <v>8</v>
      </c>
      <c r="AL124">
        <v>29</v>
      </c>
      <c r="AM124" t="s">
        <v>1198</v>
      </c>
      <c r="AN124" t="s">
        <v>1199</v>
      </c>
      <c r="AO124" t="s">
        <v>1200</v>
      </c>
      <c r="AP124" t="s">
        <v>1679</v>
      </c>
      <c r="AQ124" t="s">
        <v>1680</v>
      </c>
      <c r="AR124" t="s">
        <v>74</v>
      </c>
      <c r="AS124" t="s">
        <v>1681</v>
      </c>
      <c r="AT124" t="s">
        <v>1682</v>
      </c>
      <c r="AU124" t="s">
        <v>372</v>
      </c>
      <c r="AV124">
        <v>2024</v>
      </c>
      <c r="AW124">
        <v>190</v>
      </c>
      <c r="AX124" t="s">
        <v>74</v>
      </c>
      <c r="AY124" t="s">
        <v>74</v>
      </c>
      <c r="AZ124" t="s">
        <v>74</v>
      </c>
      <c r="BA124" t="s">
        <v>74</v>
      </c>
      <c r="BB124" t="s">
        <v>74</v>
      </c>
      <c r="BC124" t="s">
        <v>74</v>
      </c>
      <c r="BD124" t="s">
        <v>74</v>
      </c>
      <c r="BE124">
        <v>108861</v>
      </c>
      <c r="BF124" t="s">
        <v>1683</v>
      </c>
      <c r="BG124" t="s">
        <v>3192</v>
      </c>
      <c r="BH124" t="s">
        <v>74</v>
      </c>
      <c r="BI124" t="s">
        <v>1684</v>
      </c>
      <c r="BJ124">
        <v>9</v>
      </c>
      <c r="BK124" t="s">
        <v>1685</v>
      </c>
      <c r="BL124" t="s">
        <v>1041</v>
      </c>
      <c r="BM124" t="s">
        <v>1324</v>
      </c>
      <c r="BN124" t="s">
        <v>1686</v>
      </c>
      <c r="BO124">
        <v>38991890</v>
      </c>
      <c r="BP124" t="s">
        <v>1466</v>
      </c>
      <c r="BQ124" t="s">
        <v>74</v>
      </c>
      <c r="BR124" t="s">
        <v>74</v>
      </c>
      <c r="BS124" t="s">
        <v>86</v>
      </c>
      <c r="BT124" t="s">
        <v>1687</v>
      </c>
      <c r="BU124" t="s">
        <v>3164</v>
      </c>
    </row>
    <row r="125" spans="1:73" ht="85" x14ac:dyDescent="0.2">
      <c r="A125" t="s">
        <v>72</v>
      </c>
      <c r="B125" t="s">
        <v>1688</v>
      </c>
      <c r="C125" t="s">
        <v>74</v>
      </c>
      <c r="D125" t="s">
        <v>74</v>
      </c>
      <c r="E125" t="s">
        <v>74</v>
      </c>
      <c r="F125" t="s">
        <v>1689</v>
      </c>
      <c r="G125" t="s">
        <v>74</v>
      </c>
      <c r="H125" t="s">
        <v>74</v>
      </c>
      <c r="I125" t="s">
        <v>1690</v>
      </c>
      <c r="J125" t="s">
        <v>1691</v>
      </c>
      <c r="K125" t="s">
        <v>74</v>
      </c>
      <c r="L125" t="s">
        <v>74</v>
      </c>
      <c r="M125" t="s">
        <v>1025</v>
      </c>
      <c r="N125" t="s">
        <v>78</v>
      </c>
      <c r="O125" t="s">
        <v>74</v>
      </c>
      <c r="P125" t="s">
        <v>74</v>
      </c>
      <c r="Q125" t="s">
        <v>74</v>
      </c>
      <c r="R125" t="s">
        <v>74</v>
      </c>
      <c r="S125" t="s">
        <v>74</v>
      </c>
      <c r="T125" t="s">
        <v>74</v>
      </c>
      <c r="U125" t="s">
        <v>74</v>
      </c>
      <c r="V125" t="b">
        <v>0</v>
      </c>
      <c r="W125" s="1" t="s">
        <v>1692</v>
      </c>
      <c r="X125" t="s">
        <v>1693</v>
      </c>
      <c r="Y125" t="s">
        <v>74</v>
      </c>
      <c r="Z125" t="s">
        <v>1694</v>
      </c>
      <c r="AA125" t="s">
        <v>74</v>
      </c>
      <c r="AB125" t="s">
        <v>1695</v>
      </c>
      <c r="AC125" t="s">
        <v>1696</v>
      </c>
      <c r="AD125" t="s">
        <v>74</v>
      </c>
      <c r="AE125" t="s">
        <v>74</v>
      </c>
      <c r="AF125" t="s">
        <v>74</v>
      </c>
      <c r="AG125" t="s">
        <v>74</v>
      </c>
      <c r="AH125">
        <v>17</v>
      </c>
      <c r="AI125">
        <v>0</v>
      </c>
      <c r="AJ125">
        <v>0</v>
      </c>
      <c r="AK125">
        <v>0</v>
      </c>
      <c r="AL125">
        <v>1</v>
      </c>
      <c r="AM125" t="s">
        <v>1697</v>
      </c>
      <c r="AN125" t="s">
        <v>1698</v>
      </c>
      <c r="AO125" t="s">
        <v>1699</v>
      </c>
      <c r="AP125" t="s">
        <v>1700</v>
      </c>
      <c r="AQ125" t="s">
        <v>74</v>
      </c>
      <c r="AR125" t="s">
        <v>74</v>
      </c>
      <c r="AS125" t="s">
        <v>1701</v>
      </c>
      <c r="AT125" t="s">
        <v>1702</v>
      </c>
      <c r="AU125" t="s">
        <v>372</v>
      </c>
      <c r="AV125">
        <v>2007</v>
      </c>
      <c r="AW125">
        <v>33</v>
      </c>
      <c r="AX125">
        <v>8</v>
      </c>
      <c r="AY125" t="s">
        <v>74</v>
      </c>
      <c r="AZ125" t="s">
        <v>74</v>
      </c>
      <c r="BA125" t="s">
        <v>74</v>
      </c>
      <c r="BB125" t="s">
        <v>74</v>
      </c>
      <c r="BC125">
        <v>613</v>
      </c>
      <c r="BD125">
        <v>621</v>
      </c>
      <c r="BE125" t="s">
        <v>74</v>
      </c>
      <c r="BF125" t="s">
        <v>1703</v>
      </c>
      <c r="BG125" t="s">
        <v>3193</v>
      </c>
      <c r="BH125" t="s">
        <v>74</v>
      </c>
      <c r="BI125" t="s">
        <v>74</v>
      </c>
      <c r="BJ125">
        <v>9</v>
      </c>
      <c r="BK125" t="s">
        <v>1704</v>
      </c>
      <c r="BL125" t="s">
        <v>1041</v>
      </c>
      <c r="BM125" t="s">
        <v>1705</v>
      </c>
      <c r="BN125" t="s">
        <v>1706</v>
      </c>
      <c r="BO125" t="s">
        <v>74</v>
      </c>
      <c r="BP125" t="s">
        <v>74</v>
      </c>
      <c r="BQ125" t="s">
        <v>74</v>
      </c>
      <c r="BR125" t="s">
        <v>74</v>
      </c>
      <c r="BS125" t="s">
        <v>86</v>
      </c>
      <c r="BT125" t="s">
        <v>1707</v>
      </c>
      <c r="BU125" t="s">
        <v>3164</v>
      </c>
    </row>
    <row r="126" spans="1:73" ht="187" x14ac:dyDescent="0.2">
      <c r="A126" t="s">
        <v>72</v>
      </c>
      <c r="B126" t="s">
        <v>1708</v>
      </c>
      <c r="C126" t="s">
        <v>74</v>
      </c>
      <c r="D126" t="s">
        <v>74</v>
      </c>
      <c r="E126" t="s">
        <v>74</v>
      </c>
      <c r="F126" t="s">
        <v>1708</v>
      </c>
      <c r="G126" t="s">
        <v>74</v>
      </c>
      <c r="H126" t="s">
        <v>74</v>
      </c>
      <c r="I126" t="s">
        <v>1709</v>
      </c>
      <c r="J126" t="s">
        <v>1710</v>
      </c>
      <c r="K126" t="s">
        <v>74</v>
      </c>
      <c r="L126" t="s">
        <v>74</v>
      </c>
      <c r="M126" t="s">
        <v>1025</v>
      </c>
      <c r="N126" t="s">
        <v>337</v>
      </c>
      <c r="O126" t="s">
        <v>1711</v>
      </c>
      <c r="P126" t="s">
        <v>1712</v>
      </c>
      <c r="Q126" t="s">
        <v>1713</v>
      </c>
      <c r="R126" t="s">
        <v>1714</v>
      </c>
      <c r="S126" t="s">
        <v>74</v>
      </c>
      <c r="T126" t="s">
        <v>74</v>
      </c>
      <c r="U126" t="s">
        <v>1715</v>
      </c>
      <c r="V126" t="b">
        <v>0</v>
      </c>
      <c r="W126" s="1" t="s">
        <v>1716</v>
      </c>
      <c r="X126" t="s">
        <v>1717</v>
      </c>
      <c r="Y126" t="s">
        <v>1718</v>
      </c>
      <c r="Z126" t="s">
        <v>1719</v>
      </c>
      <c r="AA126" t="s">
        <v>1720</v>
      </c>
      <c r="AB126" t="s">
        <v>1721</v>
      </c>
      <c r="AC126" t="s">
        <v>1722</v>
      </c>
      <c r="AD126" t="s">
        <v>74</v>
      </c>
      <c r="AE126" t="s">
        <v>74</v>
      </c>
      <c r="AF126" t="s">
        <v>74</v>
      </c>
      <c r="AG126" t="s">
        <v>74</v>
      </c>
      <c r="AH126">
        <v>31</v>
      </c>
      <c r="AI126">
        <v>12</v>
      </c>
      <c r="AJ126">
        <v>14</v>
      </c>
      <c r="AK126">
        <v>0</v>
      </c>
      <c r="AL126">
        <v>18</v>
      </c>
      <c r="AM126" t="s">
        <v>1418</v>
      </c>
      <c r="AN126" t="s">
        <v>1419</v>
      </c>
      <c r="AO126" t="s">
        <v>1420</v>
      </c>
      <c r="AP126" t="s">
        <v>1723</v>
      </c>
      <c r="AQ126" t="s">
        <v>1724</v>
      </c>
      <c r="AR126" t="s">
        <v>74</v>
      </c>
      <c r="AS126" t="s">
        <v>1725</v>
      </c>
      <c r="AT126" t="s">
        <v>1726</v>
      </c>
      <c r="AU126" t="s">
        <v>83</v>
      </c>
      <c r="AV126">
        <v>2005</v>
      </c>
      <c r="AW126">
        <v>47</v>
      </c>
      <c r="AX126">
        <v>3</v>
      </c>
      <c r="AY126" t="s">
        <v>74</v>
      </c>
      <c r="AZ126" t="s">
        <v>74</v>
      </c>
      <c r="BA126" t="s">
        <v>74</v>
      </c>
      <c r="BB126" t="s">
        <v>74</v>
      </c>
      <c r="BC126">
        <v>686</v>
      </c>
      <c r="BD126">
        <v>697</v>
      </c>
      <c r="BE126" t="s">
        <v>74</v>
      </c>
      <c r="BF126" t="s">
        <v>1727</v>
      </c>
      <c r="BG126" t="s">
        <v>3194</v>
      </c>
      <c r="BH126" t="s">
        <v>74</v>
      </c>
      <c r="BI126" t="s">
        <v>74</v>
      </c>
      <c r="BJ126">
        <v>12</v>
      </c>
      <c r="BK126" t="s">
        <v>1066</v>
      </c>
      <c r="BL126" t="s">
        <v>1186</v>
      </c>
      <c r="BM126" t="s">
        <v>1066</v>
      </c>
      <c r="BN126" t="s">
        <v>1728</v>
      </c>
      <c r="BO126" t="s">
        <v>74</v>
      </c>
      <c r="BP126" t="s">
        <v>74</v>
      </c>
      <c r="BQ126" t="s">
        <v>74</v>
      </c>
      <c r="BR126" t="s">
        <v>74</v>
      </c>
      <c r="BS126" t="s">
        <v>86</v>
      </c>
      <c r="BT126" t="s">
        <v>1729</v>
      </c>
      <c r="BU126" t="s">
        <v>3164</v>
      </c>
    </row>
    <row r="127" spans="1:73" ht="170" x14ac:dyDescent="0.2">
      <c r="A127" t="s">
        <v>72</v>
      </c>
      <c r="B127" t="s">
        <v>1730</v>
      </c>
      <c r="C127" t="s">
        <v>74</v>
      </c>
      <c r="D127" t="s">
        <v>74</v>
      </c>
      <c r="E127" t="s">
        <v>74</v>
      </c>
      <c r="F127" t="s">
        <v>1730</v>
      </c>
      <c r="G127" t="s">
        <v>74</v>
      </c>
      <c r="H127" t="s">
        <v>74</v>
      </c>
      <c r="I127" t="s">
        <v>1731</v>
      </c>
      <c r="J127" t="s">
        <v>1732</v>
      </c>
      <c r="K127" t="s">
        <v>74</v>
      </c>
      <c r="L127" t="s">
        <v>74</v>
      </c>
      <c r="M127" t="s">
        <v>1025</v>
      </c>
      <c r="N127" t="s">
        <v>78</v>
      </c>
      <c r="O127" t="s">
        <v>74</v>
      </c>
      <c r="P127" t="s">
        <v>74</v>
      </c>
      <c r="Q127" t="s">
        <v>74</v>
      </c>
      <c r="R127" t="s">
        <v>74</v>
      </c>
      <c r="S127" t="s">
        <v>74</v>
      </c>
      <c r="T127" t="s">
        <v>74</v>
      </c>
      <c r="U127" t="s">
        <v>1733</v>
      </c>
      <c r="V127" t="b">
        <v>0</v>
      </c>
      <c r="W127" s="1" t="s">
        <v>1734</v>
      </c>
      <c r="X127" t="s">
        <v>1735</v>
      </c>
      <c r="Y127" t="s">
        <v>1736</v>
      </c>
      <c r="Z127" t="s">
        <v>1737</v>
      </c>
      <c r="AA127" t="s">
        <v>1738</v>
      </c>
      <c r="AB127" t="s">
        <v>74</v>
      </c>
      <c r="AC127" t="s">
        <v>74</v>
      </c>
      <c r="AD127" t="s">
        <v>1739</v>
      </c>
      <c r="AE127" t="s">
        <v>1740</v>
      </c>
      <c r="AF127" t="s">
        <v>74</v>
      </c>
      <c r="AG127" t="s">
        <v>74</v>
      </c>
      <c r="AH127">
        <v>33</v>
      </c>
      <c r="AI127">
        <v>28</v>
      </c>
      <c r="AJ127">
        <v>37</v>
      </c>
      <c r="AK127">
        <v>0</v>
      </c>
      <c r="AL127">
        <v>8</v>
      </c>
      <c r="AM127" t="s">
        <v>1033</v>
      </c>
      <c r="AN127" t="s">
        <v>1034</v>
      </c>
      <c r="AO127" t="s">
        <v>1035</v>
      </c>
      <c r="AP127" t="s">
        <v>74</v>
      </c>
      <c r="AQ127" t="s">
        <v>1741</v>
      </c>
      <c r="AR127" t="s">
        <v>74</v>
      </c>
      <c r="AS127" t="s">
        <v>1742</v>
      </c>
      <c r="AT127" t="s">
        <v>1743</v>
      </c>
      <c r="AU127" t="s">
        <v>1744</v>
      </c>
      <c r="AV127">
        <v>2005</v>
      </c>
      <c r="AW127">
        <v>280</v>
      </c>
      <c r="AX127">
        <v>7</v>
      </c>
      <c r="AY127" t="s">
        <v>74</v>
      </c>
      <c r="AZ127" t="s">
        <v>74</v>
      </c>
      <c r="BA127" t="s">
        <v>74</v>
      </c>
      <c r="BB127" t="s">
        <v>74</v>
      </c>
      <c r="BC127">
        <v>5400</v>
      </c>
      <c r="BD127">
        <v>5405</v>
      </c>
      <c r="BE127" t="s">
        <v>74</v>
      </c>
      <c r="BF127" t="s">
        <v>1745</v>
      </c>
      <c r="BG127" t="s">
        <v>3195</v>
      </c>
      <c r="BH127" t="s">
        <v>74</v>
      </c>
      <c r="BI127" t="s">
        <v>74</v>
      </c>
      <c r="BJ127">
        <v>6</v>
      </c>
      <c r="BK127" t="s">
        <v>1408</v>
      </c>
      <c r="BL127" t="s">
        <v>1041</v>
      </c>
      <c r="BM127" t="s">
        <v>1408</v>
      </c>
      <c r="BN127" t="s">
        <v>1746</v>
      </c>
      <c r="BO127">
        <v>15583009</v>
      </c>
      <c r="BP127" t="s">
        <v>1747</v>
      </c>
      <c r="BQ127" t="s">
        <v>74</v>
      </c>
      <c r="BR127" t="s">
        <v>74</v>
      </c>
      <c r="BS127" t="s">
        <v>86</v>
      </c>
      <c r="BT127" t="s">
        <v>1748</v>
      </c>
      <c r="BU127" t="s">
        <v>3164</v>
      </c>
    </row>
    <row r="128" spans="1:73" ht="68" x14ac:dyDescent="0.2">
      <c r="A128" t="s">
        <v>72</v>
      </c>
      <c r="B128" t="s">
        <v>1749</v>
      </c>
      <c r="C128" t="s">
        <v>74</v>
      </c>
      <c r="D128" t="s">
        <v>74</v>
      </c>
      <c r="E128" t="s">
        <v>74</v>
      </c>
      <c r="F128" t="s">
        <v>1749</v>
      </c>
      <c r="G128" t="s">
        <v>74</v>
      </c>
      <c r="H128" t="s">
        <v>74</v>
      </c>
      <c r="I128" t="s">
        <v>1750</v>
      </c>
      <c r="J128" t="s">
        <v>641</v>
      </c>
      <c r="K128" t="s">
        <v>74</v>
      </c>
      <c r="L128" t="s">
        <v>74</v>
      </c>
      <c r="M128" t="s">
        <v>1025</v>
      </c>
      <c r="N128" t="s">
        <v>78</v>
      </c>
      <c r="O128" t="s">
        <v>74</v>
      </c>
      <c r="P128" t="s">
        <v>74</v>
      </c>
      <c r="Q128" t="s">
        <v>74</v>
      </c>
      <c r="R128" t="s">
        <v>74</v>
      </c>
      <c r="S128" t="s">
        <v>74</v>
      </c>
      <c r="T128" t="s">
        <v>1751</v>
      </c>
      <c r="U128" t="s">
        <v>1752</v>
      </c>
      <c r="V128" t="b">
        <v>0</v>
      </c>
      <c r="W128" s="1" t="s">
        <v>1753</v>
      </c>
      <c r="X128" t="s">
        <v>1754</v>
      </c>
      <c r="Y128" t="s">
        <v>1755</v>
      </c>
      <c r="Z128" t="s">
        <v>1756</v>
      </c>
      <c r="AA128" t="s">
        <v>1757</v>
      </c>
      <c r="AB128" t="s">
        <v>1758</v>
      </c>
      <c r="AC128" t="s">
        <v>1759</v>
      </c>
      <c r="AD128" t="s">
        <v>74</v>
      </c>
      <c r="AE128" t="s">
        <v>74</v>
      </c>
      <c r="AF128" t="s">
        <v>74</v>
      </c>
      <c r="AG128" t="s">
        <v>74</v>
      </c>
      <c r="AH128">
        <v>15</v>
      </c>
      <c r="AI128">
        <v>32</v>
      </c>
      <c r="AJ128">
        <v>33</v>
      </c>
      <c r="AK128">
        <v>0</v>
      </c>
      <c r="AL128">
        <v>12</v>
      </c>
      <c r="AM128" t="s">
        <v>1059</v>
      </c>
      <c r="AN128" t="s">
        <v>1060</v>
      </c>
      <c r="AO128" t="s">
        <v>1061</v>
      </c>
      <c r="AP128" t="s">
        <v>1062</v>
      </c>
      <c r="AQ128" t="s">
        <v>1478</v>
      </c>
      <c r="AR128" t="s">
        <v>74</v>
      </c>
      <c r="AS128" t="s">
        <v>1063</v>
      </c>
      <c r="AT128" t="s">
        <v>1064</v>
      </c>
      <c r="AU128" t="s">
        <v>279</v>
      </c>
      <c r="AV128">
        <v>2002</v>
      </c>
      <c r="AW128">
        <v>60</v>
      </c>
      <c r="AX128">
        <v>2</v>
      </c>
      <c r="AY128" t="s">
        <v>74</v>
      </c>
      <c r="AZ128" t="s">
        <v>74</v>
      </c>
      <c r="BA128" t="s">
        <v>74</v>
      </c>
      <c r="BB128" t="s">
        <v>74</v>
      </c>
      <c r="BC128">
        <v>157</v>
      </c>
      <c r="BD128">
        <v>166</v>
      </c>
      <c r="BE128" t="s">
        <v>1760</v>
      </c>
      <c r="BF128" t="s">
        <v>1761</v>
      </c>
      <c r="BG128" t="s">
        <v>3196</v>
      </c>
      <c r="BH128" t="s">
        <v>74</v>
      </c>
      <c r="BI128" t="s">
        <v>74</v>
      </c>
      <c r="BJ128">
        <v>10</v>
      </c>
      <c r="BK128" t="s">
        <v>1066</v>
      </c>
      <c r="BL128" t="s">
        <v>1041</v>
      </c>
      <c r="BM128" t="s">
        <v>1066</v>
      </c>
      <c r="BN128" t="s">
        <v>1762</v>
      </c>
      <c r="BO128" t="s">
        <v>74</v>
      </c>
      <c r="BP128" t="s">
        <v>74</v>
      </c>
      <c r="BQ128" t="s">
        <v>74</v>
      </c>
      <c r="BR128" t="s">
        <v>74</v>
      </c>
      <c r="BS128" t="s">
        <v>86</v>
      </c>
      <c r="BT128" t="s">
        <v>1763</v>
      </c>
      <c r="BU128" t="s">
        <v>3164</v>
      </c>
    </row>
    <row r="129" spans="1:73" ht="170" x14ac:dyDescent="0.2">
      <c r="A129" t="s">
        <v>72</v>
      </c>
      <c r="B129" t="s">
        <v>1764</v>
      </c>
      <c r="C129" t="s">
        <v>74</v>
      </c>
      <c r="D129" t="s">
        <v>74</v>
      </c>
      <c r="E129" t="s">
        <v>74</v>
      </c>
      <c r="F129" t="s">
        <v>1765</v>
      </c>
      <c r="G129" t="s">
        <v>74</v>
      </c>
      <c r="H129" t="s">
        <v>74</v>
      </c>
      <c r="I129" t="s">
        <v>1766</v>
      </c>
      <c r="J129" t="s">
        <v>1767</v>
      </c>
      <c r="K129" t="s">
        <v>74</v>
      </c>
      <c r="L129" t="s">
        <v>74</v>
      </c>
      <c r="M129" t="s">
        <v>1025</v>
      </c>
      <c r="N129" t="s">
        <v>78</v>
      </c>
      <c r="O129" t="s">
        <v>74</v>
      </c>
      <c r="P129" t="s">
        <v>74</v>
      </c>
      <c r="Q129" t="s">
        <v>74</v>
      </c>
      <c r="R129" t="s">
        <v>74</v>
      </c>
      <c r="S129" t="s">
        <v>74</v>
      </c>
      <c r="T129" t="s">
        <v>1768</v>
      </c>
      <c r="U129" t="s">
        <v>1769</v>
      </c>
      <c r="V129" t="b">
        <v>0</v>
      </c>
      <c r="W129" s="1" t="s">
        <v>1770</v>
      </c>
      <c r="X129" t="s">
        <v>1771</v>
      </c>
      <c r="Y129" t="s">
        <v>1772</v>
      </c>
      <c r="Z129" t="s">
        <v>1773</v>
      </c>
      <c r="AA129" t="s">
        <v>1774</v>
      </c>
      <c r="AB129" t="s">
        <v>74</v>
      </c>
      <c r="AC129" t="s">
        <v>74</v>
      </c>
      <c r="AD129" t="s">
        <v>1775</v>
      </c>
      <c r="AE129" t="s">
        <v>1776</v>
      </c>
      <c r="AF129" t="s">
        <v>1777</v>
      </c>
      <c r="AG129" t="s">
        <v>74</v>
      </c>
      <c r="AH129">
        <v>79</v>
      </c>
      <c r="AI129">
        <v>0</v>
      </c>
      <c r="AJ129">
        <v>0</v>
      </c>
      <c r="AK129">
        <v>0</v>
      </c>
      <c r="AL129">
        <v>0</v>
      </c>
      <c r="AM129" t="s">
        <v>1778</v>
      </c>
      <c r="AN129" t="s">
        <v>1779</v>
      </c>
      <c r="AO129" t="s">
        <v>1780</v>
      </c>
      <c r="AP129" t="s">
        <v>74</v>
      </c>
      <c r="AQ129" t="s">
        <v>1781</v>
      </c>
      <c r="AR129" t="s">
        <v>74</v>
      </c>
      <c r="AS129" t="s">
        <v>1767</v>
      </c>
      <c r="AT129" t="s">
        <v>1782</v>
      </c>
      <c r="AU129" t="s">
        <v>1783</v>
      </c>
      <c r="AV129">
        <v>2026</v>
      </c>
      <c r="AW129">
        <v>14</v>
      </c>
      <c r="AX129">
        <v>4</v>
      </c>
      <c r="AY129" t="s">
        <v>74</v>
      </c>
      <c r="AZ129" t="s">
        <v>74</v>
      </c>
      <c r="BA129" t="s">
        <v>74</v>
      </c>
      <c r="BB129" t="s">
        <v>74</v>
      </c>
      <c r="BC129" t="s">
        <v>74</v>
      </c>
      <c r="BD129" t="s">
        <v>74</v>
      </c>
      <c r="BE129">
        <v>345</v>
      </c>
      <c r="BF129" t="s">
        <v>1784</v>
      </c>
      <c r="BG129" t="s">
        <v>3197</v>
      </c>
      <c r="BH129" t="s">
        <v>74</v>
      </c>
      <c r="BI129" t="s">
        <v>596</v>
      </c>
      <c r="BJ129">
        <v>19</v>
      </c>
      <c r="BK129" t="s">
        <v>1785</v>
      </c>
      <c r="BL129" t="s">
        <v>1041</v>
      </c>
      <c r="BM129" t="s">
        <v>1786</v>
      </c>
      <c r="BN129" t="s">
        <v>1787</v>
      </c>
      <c r="BO129">
        <v>42043172</v>
      </c>
      <c r="BP129" t="s">
        <v>1466</v>
      </c>
      <c r="BQ129" t="s">
        <v>74</v>
      </c>
      <c r="BR129" t="s">
        <v>74</v>
      </c>
      <c r="BS129" t="s">
        <v>86</v>
      </c>
      <c r="BT129" t="s">
        <v>1788</v>
      </c>
      <c r="BU129" t="s">
        <v>3164</v>
      </c>
    </row>
    <row r="130" spans="1:73" ht="136" x14ac:dyDescent="0.2">
      <c r="A130" t="s">
        <v>72</v>
      </c>
      <c r="B130" t="s">
        <v>124</v>
      </c>
      <c r="C130" t="s">
        <v>74</v>
      </c>
      <c r="D130" t="s">
        <v>74</v>
      </c>
      <c r="E130" t="s">
        <v>74</v>
      </c>
      <c r="F130" t="s">
        <v>125</v>
      </c>
      <c r="G130" t="s">
        <v>74</v>
      </c>
      <c r="H130" t="s">
        <v>74</v>
      </c>
      <c r="I130" t="s">
        <v>126</v>
      </c>
      <c r="J130" t="s">
        <v>127</v>
      </c>
      <c r="K130" t="s">
        <v>74</v>
      </c>
      <c r="L130" t="s">
        <v>74</v>
      </c>
      <c r="M130" t="s">
        <v>1025</v>
      </c>
      <c r="N130" t="s">
        <v>78</v>
      </c>
      <c r="O130" t="s">
        <v>74</v>
      </c>
      <c r="P130" t="s">
        <v>74</v>
      </c>
      <c r="Q130" t="s">
        <v>74</v>
      </c>
      <c r="R130" t="s">
        <v>74</v>
      </c>
      <c r="S130" t="s">
        <v>74</v>
      </c>
      <c r="T130" t="s">
        <v>1789</v>
      </c>
      <c r="U130" t="s">
        <v>1790</v>
      </c>
      <c r="V130" t="b">
        <v>1</v>
      </c>
      <c r="W130" s="1" t="s">
        <v>128</v>
      </c>
      <c r="X130" t="s">
        <v>129</v>
      </c>
      <c r="Y130" t="s">
        <v>1791</v>
      </c>
      <c r="Z130" t="s">
        <v>130</v>
      </c>
      <c r="AA130" t="s">
        <v>131</v>
      </c>
      <c r="AB130" t="s">
        <v>1792</v>
      </c>
      <c r="AC130" t="s">
        <v>1793</v>
      </c>
      <c r="AD130" t="s">
        <v>1794</v>
      </c>
      <c r="AE130" t="s">
        <v>1795</v>
      </c>
      <c r="AF130" t="s">
        <v>1796</v>
      </c>
      <c r="AG130" t="s">
        <v>74</v>
      </c>
      <c r="AH130">
        <v>96</v>
      </c>
      <c r="AI130">
        <v>1</v>
      </c>
      <c r="AJ130">
        <v>1</v>
      </c>
      <c r="AK130">
        <v>30</v>
      </c>
      <c r="AL130">
        <v>57</v>
      </c>
      <c r="AM130" t="s">
        <v>1797</v>
      </c>
      <c r="AN130" t="s">
        <v>1798</v>
      </c>
      <c r="AO130" t="s">
        <v>1799</v>
      </c>
      <c r="AP130" t="s">
        <v>1800</v>
      </c>
      <c r="AQ130" t="s">
        <v>1801</v>
      </c>
      <c r="AR130" t="s">
        <v>74</v>
      </c>
      <c r="AS130" t="s">
        <v>1802</v>
      </c>
      <c r="AT130" t="s">
        <v>1803</v>
      </c>
      <c r="AU130" t="s">
        <v>132</v>
      </c>
      <c r="AV130">
        <v>2026</v>
      </c>
      <c r="AW130">
        <v>64</v>
      </c>
      <c r="AX130">
        <v>1</v>
      </c>
      <c r="AY130" t="s">
        <v>74</v>
      </c>
      <c r="AZ130" t="s">
        <v>74</v>
      </c>
      <c r="BA130" t="s">
        <v>74</v>
      </c>
      <c r="BB130" t="s">
        <v>74</v>
      </c>
      <c r="BC130">
        <v>1</v>
      </c>
      <c r="BD130">
        <v>23</v>
      </c>
      <c r="BE130" t="s">
        <v>74</v>
      </c>
      <c r="BF130" t="s">
        <v>133</v>
      </c>
      <c r="BG130" t="s">
        <v>3198</v>
      </c>
      <c r="BH130" t="s">
        <v>74</v>
      </c>
      <c r="BI130" t="s">
        <v>134</v>
      </c>
      <c r="BJ130">
        <v>23</v>
      </c>
      <c r="BK130" t="s">
        <v>1804</v>
      </c>
      <c r="BL130" t="s">
        <v>1041</v>
      </c>
      <c r="BM130" t="s">
        <v>1805</v>
      </c>
      <c r="BN130" t="s">
        <v>1806</v>
      </c>
      <c r="BO130" t="s">
        <v>74</v>
      </c>
      <c r="BP130" t="s">
        <v>74</v>
      </c>
      <c r="BQ130" t="s">
        <v>74</v>
      </c>
      <c r="BR130" t="s">
        <v>74</v>
      </c>
      <c r="BS130" t="s">
        <v>86</v>
      </c>
      <c r="BT130" t="s">
        <v>135</v>
      </c>
      <c r="BU130" t="s">
        <v>3164</v>
      </c>
    </row>
    <row r="131" spans="1:73" ht="119" x14ac:dyDescent="0.2">
      <c r="A131" t="s">
        <v>72</v>
      </c>
      <c r="B131" t="s">
        <v>322</v>
      </c>
      <c r="C131" t="s">
        <v>74</v>
      </c>
      <c r="D131" t="s">
        <v>74</v>
      </c>
      <c r="E131" t="s">
        <v>74</v>
      </c>
      <c r="F131" t="s">
        <v>323</v>
      </c>
      <c r="G131" t="s">
        <v>74</v>
      </c>
      <c r="H131" t="s">
        <v>74</v>
      </c>
      <c r="I131" t="s">
        <v>324</v>
      </c>
      <c r="J131" t="s">
        <v>325</v>
      </c>
      <c r="K131" t="s">
        <v>74</v>
      </c>
      <c r="L131" t="s">
        <v>74</v>
      </c>
      <c r="M131" t="s">
        <v>1025</v>
      </c>
      <c r="N131" t="s">
        <v>78</v>
      </c>
      <c r="O131" t="s">
        <v>74</v>
      </c>
      <c r="P131" t="s">
        <v>74</v>
      </c>
      <c r="Q131" t="s">
        <v>74</v>
      </c>
      <c r="R131" t="s">
        <v>74</v>
      </c>
      <c r="S131" t="s">
        <v>74</v>
      </c>
      <c r="T131" t="s">
        <v>1807</v>
      </c>
      <c r="U131" t="s">
        <v>1808</v>
      </c>
      <c r="V131" t="b">
        <v>0</v>
      </c>
      <c r="W131" s="1" t="s">
        <v>326</v>
      </c>
      <c r="X131" t="s">
        <v>327</v>
      </c>
      <c r="Y131" t="s">
        <v>1809</v>
      </c>
      <c r="Z131" t="s">
        <v>328</v>
      </c>
      <c r="AA131" t="s">
        <v>329</v>
      </c>
      <c r="AB131" t="s">
        <v>1810</v>
      </c>
      <c r="AC131" t="s">
        <v>1811</v>
      </c>
      <c r="AD131" t="s">
        <v>1812</v>
      </c>
      <c r="AE131" t="s">
        <v>1813</v>
      </c>
      <c r="AF131" t="s">
        <v>74</v>
      </c>
      <c r="AG131" t="s">
        <v>74</v>
      </c>
      <c r="AH131">
        <v>18</v>
      </c>
      <c r="AI131">
        <v>1</v>
      </c>
      <c r="AJ131">
        <v>1</v>
      </c>
      <c r="AK131">
        <v>0</v>
      </c>
      <c r="AL131">
        <v>5</v>
      </c>
      <c r="AM131" t="s">
        <v>1814</v>
      </c>
      <c r="AN131" t="s">
        <v>1815</v>
      </c>
      <c r="AO131" t="s">
        <v>1816</v>
      </c>
      <c r="AP131" t="s">
        <v>1817</v>
      </c>
      <c r="AQ131" t="s">
        <v>1818</v>
      </c>
      <c r="AR131" t="s">
        <v>74</v>
      </c>
      <c r="AS131" t="s">
        <v>1819</v>
      </c>
      <c r="AT131" t="s">
        <v>1820</v>
      </c>
      <c r="AU131" t="s">
        <v>83</v>
      </c>
      <c r="AV131">
        <v>2023</v>
      </c>
      <c r="AW131">
        <v>47</v>
      </c>
      <c r="AX131">
        <v>2</v>
      </c>
      <c r="AY131" t="s">
        <v>74</v>
      </c>
      <c r="AZ131" t="s">
        <v>74</v>
      </c>
      <c r="BA131" t="s">
        <v>74</v>
      </c>
      <c r="BB131" t="s">
        <v>74</v>
      </c>
      <c r="BC131">
        <v>71</v>
      </c>
      <c r="BD131">
        <v>76</v>
      </c>
      <c r="BE131" t="s">
        <v>330</v>
      </c>
      <c r="BF131" t="s">
        <v>331</v>
      </c>
      <c r="BG131" t="s">
        <v>3199</v>
      </c>
      <c r="BH131" t="s">
        <v>74</v>
      </c>
      <c r="BI131" t="s">
        <v>332</v>
      </c>
      <c r="BJ131">
        <v>6</v>
      </c>
      <c r="BK131" t="s">
        <v>1821</v>
      </c>
      <c r="BL131" t="s">
        <v>1822</v>
      </c>
      <c r="BM131" t="s">
        <v>1821</v>
      </c>
      <c r="BN131" t="s">
        <v>1823</v>
      </c>
      <c r="BO131">
        <v>35177146</v>
      </c>
      <c r="BP131" t="s">
        <v>1824</v>
      </c>
      <c r="BQ131" t="s">
        <v>74</v>
      </c>
      <c r="BR131" t="s">
        <v>74</v>
      </c>
      <c r="BS131" t="s">
        <v>86</v>
      </c>
      <c r="BT131" t="s">
        <v>333</v>
      </c>
      <c r="BU131" t="s">
        <v>3164</v>
      </c>
    </row>
    <row r="132" spans="1:73" ht="68" x14ac:dyDescent="0.2">
      <c r="A132" t="s">
        <v>72</v>
      </c>
      <c r="B132" t="s">
        <v>1825</v>
      </c>
      <c r="C132" t="s">
        <v>74</v>
      </c>
      <c r="D132" t="s">
        <v>74</v>
      </c>
      <c r="E132" t="s">
        <v>74</v>
      </c>
      <c r="F132" t="s">
        <v>1826</v>
      </c>
      <c r="G132" t="s">
        <v>74</v>
      </c>
      <c r="H132" t="s">
        <v>74</v>
      </c>
      <c r="I132" t="s">
        <v>1827</v>
      </c>
      <c r="J132" t="s">
        <v>1828</v>
      </c>
      <c r="K132" t="s">
        <v>74</v>
      </c>
      <c r="L132" t="s">
        <v>74</v>
      </c>
      <c r="M132" t="s">
        <v>1025</v>
      </c>
      <c r="N132" t="s">
        <v>337</v>
      </c>
      <c r="O132" t="s">
        <v>1829</v>
      </c>
      <c r="P132" t="s">
        <v>1830</v>
      </c>
      <c r="Q132" t="s">
        <v>1831</v>
      </c>
      <c r="R132" t="s">
        <v>74</v>
      </c>
      <c r="S132" t="s">
        <v>74</v>
      </c>
      <c r="T132" t="s">
        <v>1832</v>
      </c>
      <c r="U132" t="s">
        <v>1833</v>
      </c>
      <c r="V132" t="b">
        <v>0</v>
      </c>
      <c r="W132" s="1" t="s">
        <v>1834</v>
      </c>
      <c r="X132" t="s">
        <v>1835</v>
      </c>
      <c r="Y132" t="s">
        <v>1836</v>
      </c>
      <c r="Z132" t="s">
        <v>1837</v>
      </c>
      <c r="AA132" t="s">
        <v>1838</v>
      </c>
      <c r="AB132" t="s">
        <v>1839</v>
      </c>
      <c r="AC132" t="s">
        <v>74</v>
      </c>
      <c r="AD132" t="s">
        <v>1840</v>
      </c>
      <c r="AE132" t="s">
        <v>1841</v>
      </c>
      <c r="AF132" t="s">
        <v>1842</v>
      </c>
      <c r="AG132" t="s">
        <v>74</v>
      </c>
      <c r="AH132">
        <v>25</v>
      </c>
      <c r="AI132">
        <v>9</v>
      </c>
      <c r="AJ132">
        <v>15</v>
      </c>
      <c r="AK132">
        <v>0</v>
      </c>
      <c r="AL132">
        <v>7</v>
      </c>
      <c r="AM132" t="s">
        <v>1843</v>
      </c>
      <c r="AN132" t="s">
        <v>1844</v>
      </c>
      <c r="AO132" t="s">
        <v>1845</v>
      </c>
      <c r="AP132" t="s">
        <v>1846</v>
      </c>
      <c r="AQ132" t="s">
        <v>1847</v>
      </c>
      <c r="AR132" t="s">
        <v>74</v>
      </c>
      <c r="AS132" t="s">
        <v>1848</v>
      </c>
      <c r="AT132" t="s">
        <v>1849</v>
      </c>
      <c r="AU132" t="s">
        <v>269</v>
      </c>
      <c r="AV132">
        <v>2012</v>
      </c>
      <c r="AW132">
        <v>40</v>
      </c>
      <c r="AX132">
        <v>3</v>
      </c>
      <c r="AY132">
        <v>1</v>
      </c>
      <c r="AZ132" t="s">
        <v>74</v>
      </c>
      <c r="BA132" t="s">
        <v>456</v>
      </c>
      <c r="BB132" t="s">
        <v>74</v>
      </c>
      <c r="BC132">
        <v>730</v>
      </c>
      <c r="BD132">
        <v>734</v>
      </c>
      <c r="BE132" t="s">
        <v>74</v>
      </c>
      <c r="BF132" t="s">
        <v>1850</v>
      </c>
      <c r="BG132" t="s">
        <v>3200</v>
      </c>
      <c r="BH132" t="s">
        <v>74</v>
      </c>
      <c r="BI132" t="s">
        <v>74</v>
      </c>
      <c r="BJ132">
        <v>5</v>
      </c>
      <c r="BK132" t="s">
        <v>1704</v>
      </c>
      <c r="BL132" t="s">
        <v>1186</v>
      </c>
      <c r="BM132" t="s">
        <v>1705</v>
      </c>
      <c r="BN132" t="s">
        <v>1851</v>
      </c>
      <c r="BO132" t="s">
        <v>74</v>
      </c>
      <c r="BP132" t="s">
        <v>74</v>
      </c>
      <c r="BQ132" t="s">
        <v>74</v>
      </c>
      <c r="BR132" t="s">
        <v>74</v>
      </c>
      <c r="BS132" t="s">
        <v>86</v>
      </c>
      <c r="BT132" t="s">
        <v>1852</v>
      </c>
      <c r="BU132" t="s">
        <v>3164</v>
      </c>
    </row>
    <row r="133" spans="1:73" ht="68" x14ac:dyDescent="0.2">
      <c r="A133" t="s">
        <v>72</v>
      </c>
      <c r="B133" t="s">
        <v>1853</v>
      </c>
      <c r="C133" t="s">
        <v>74</v>
      </c>
      <c r="D133" t="s">
        <v>74</v>
      </c>
      <c r="E133" t="s">
        <v>74</v>
      </c>
      <c r="F133" t="s">
        <v>1854</v>
      </c>
      <c r="G133" t="s">
        <v>74</v>
      </c>
      <c r="H133" t="s">
        <v>74</v>
      </c>
      <c r="I133" t="s">
        <v>1855</v>
      </c>
      <c r="J133" t="s">
        <v>641</v>
      </c>
      <c r="K133" t="s">
        <v>74</v>
      </c>
      <c r="L133" t="s">
        <v>74</v>
      </c>
      <c r="M133" t="s">
        <v>1025</v>
      </c>
      <c r="N133" t="s">
        <v>78</v>
      </c>
      <c r="O133" t="s">
        <v>74</v>
      </c>
      <c r="P133" t="s">
        <v>74</v>
      </c>
      <c r="Q133" t="s">
        <v>74</v>
      </c>
      <c r="R133" t="s">
        <v>74</v>
      </c>
      <c r="S133" t="s">
        <v>74</v>
      </c>
      <c r="T133" t="s">
        <v>1856</v>
      </c>
      <c r="U133" t="s">
        <v>1857</v>
      </c>
      <c r="V133" t="b">
        <v>0</v>
      </c>
      <c r="W133" s="1" t="s">
        <v>1858</v>
      </c>
      <c r="X133" t="s">
        <v>1859</v>
      </c>
      <c r="Y133" t="s">
        <v>1860</v>
      </c>
      <c r="Z133" t="s">
        <v>1861</v>
      </c>
      <c r="AA133" t="s">
        <v>1862</v>
      </c>
      <c r="AB133" t="s">
        <v>1863</v>
      </c>
      <c r="AC133" t="s">
        <v>1864</v>
      </c>
      <c r="AD133" t="s">
        <v>1865</v>
      </c>
      <c r="AE133" t="s">
        <v>1866</v>
      </c>
      <c r="AF133" t="s">
        <v>1867</v>
      </c>
      <c r="AG133" t="s">
        <v>74</v>
      </c>
      <c r="AH133">
        <v>9</v>
      </c>
      <c r="AI133">
        <v>1</v>
      </c>
      <c r="AJ133">
        <v>1</v>
      </c>
      <c r="AK133">
        <v>0</v>
      </c>
      <c r="AL133">
        <v>2</v>
      </c>
      <c r="AM133" t="s">
        <v>1059</v>
      </c>
      <c r="AN133" t="s">
        <v>1060</v>
      </c>
      <c r="AO133" t="s">
        <v>1061</v>
      </c>
      <c r="AP133" t="s">
        <v>1062</v>
      </c>
      <c r="AQ133" t="s">
        <v>1478</v>
      </c>
      <c r="AR133" t="s">
        <v>74</v>
      </c>
      <c r="AS133" t="s">
        <v>1063</v>
      </c>
      <c r="AT133" t="s">
        <v>1064</v>
      </c>
      <c r="AU133" t="s">
        <v>1868</v>
      </c>
      <c r="AV133">
        <v>2016</v>
      </c>
      <c r="AW133">
        <v>112</v>
      </c>
      <c r="AX133" t="s">
        <v>74</v>
      </c>
      <c r="AY133" t="s">
        <v>74</v>
      </c>
      <c r="AZ133" t="s">
        <v>74</v>
      </c>
      <c r="BA133" t="s">
        <v>74</v>
      </c>
      <c r="BB133" t="s">
        <v>74</v>
      </c>
      <c r="BC133">
        <v>293</v>
      </c>
      <c r="BD133">
        <v>297</v>
      </c>
      <c r="BE133" t="s">
        <v>74</v>
      </c>
      <c r="BF133" t="s">
        <v>1869</v>
      </c>
      <c r="BG133" t="s">
        <v>3201</v>
      </c>
      <c r="BH133" t="s">
        <v>74</v>
      </c>
      <c r="BI133" t="s">
        <v>74</v>
      </c>
      <c r="BJ133">
        <v>5</v>
      </c>
      <c r="BK133" t="s">
        <v>1066</v>
      </c>
      <c r="BL133" t="s">
        <v>1041</v>
      </c>
      <c r="BM133" t="s">
        <v>1066</v>
      </c>
      <c r="BN133" t="s">
        <v>1870</v>
      </c>
      <c r="BO133" t="s">
        <v>74</v>
      </c>
      <c r="BP133" t="s">
        <v>74</v>
      </c>
      <c r="BQ133" t="s">
        <v>74</v>
      </c>
      <c r="BR133" t="s">
        <v>74</v>
      </c>
      <c r="BS133" t="s">
        <v>86</v>
      </c>
      <c r="BT133" t="s">
        <v>1871</v>
      </c>
      <c r="BU133" t="s">
        <v>3164</v>
      </c>
    </row>
    <row r="134" spans="1:73" ht="68" x14ac:dyDescent="0.2">
      <c r="A134" t="s">
        <v>72</v>
      </c>
      <c r="B134" t="s">
        <v>1872</v>
      </c>
      <c r="C134" t="s">
        <v>74</v>
      </c>
      <c r="D134" t="s">
        <v>74</v>
      </c>
      <c r="E134" t="s">
        <v>74</v>
      </c>
      <c r="F134" t="s">
        <v>1872</v>
      </c>
      <c r="G134" t="s">
        <v>74</v>
      </c>
      <c r="H134" t="s">
        <v>74</v>
      </c>
      <c r="I134" t="s">
        <v>1873</v>
      </c>
      <c r="J134" t="s">
        <v>1874</v>
      </c>
      <c r="K134" t="s">
        <v>74</v>
      </c>
      <c r="L134" t="s">
        <v>74</v>
      </c>
      <c r="M134" t="s">
        <v>1025</v>
      </c>
      <c r="N134" t="s">
        <v>1095</v>
      </c>
      <c r="O134" t="s">
        <v>74</v>
      </c>
      <c r="P134" t="s">
        <v>74</v>
      </c>
      <c r="Q134" t="s">
        <v>74</v>
      </c>
      <c r="R134" t="s">
        <v>74</v>
      </c>
      <c r="S134" t="s">
        <v>74</v>
      </c>
      <c r="T134" t="s">
        <v>1875</v>
      </c>
      <c r="U134" t="s">
        <v>74</v>
      </c>
      <c r="V134" t="b">
        <v>0</v>
      </c>
      <c r="W134" s="1" t="s">
        <v>1876</v>
      </c>
      <c r="X134" t="s">
        <v>1877</v>
      </c>
      <c r="Y134" t="s">
        <v>1878</v>
      </c>
      <c r="Z134" t="s">
        <v>1879</v>
      </c>
      <c r="AA134" t="s">
        <v>74</v>
      </c>
      <c r="AB134" t="s">
        <v>74</v>
      </c>
      <c r="AC134" t="s">
        <v>74</v>
      </c>
      <c r="AD134" t="s">
        <v>74</v>
      </c>
      <c r="AE134" t="s">
        <v>74</v>
      </c>
      <c r="AF134" t="s">
        <v>74</v>
      </c>
      <c r="AG134" t="s">
        <v>74</v>
      </c>
      <c r="AH134">
        <v>13</v>
      </c>
      <c r="AI134">
        <v>34</v>
      </c>
      <c r="AJ134">
        <v>40</v>
      </c>
      <c r="AK134">
        <v>0</v>
      </c>
      <c r="AL134">
        <v>0</v>
      </c>
      <c r="AM134" t="s">
        <v>1880</v>
      </c>
      <c r="AN134" t="s">
        <v>1177</v>
      </c>
      <c r="AO134" t="s">
        <v>1881</v>
      </c>
      <c r="AP134" t="s">
        <v>1882</v>
      </c>
      <c r="AQ134" t="s">
        <v>74</v>
      </c>
      <c r="AR134" t="s">
        <v>74</v>
      </c>
      <c r="AS134" t="s">
        <v>1883</v>
      </c>
      <c r="AT134" t="s">
        <v>1884</v>
      </c>
      <c r="AU134" t="s">
        <v>190</v>
      </c>
      <c r="AV134">
        <v>1995</v>
      </c>
      <c r="AW134">
        <v>48</v>
      </c>
      <c r="AX134">
        <v>6</v>
      </c>
      <c r="AY134" t="s">
        <v>74</v>
      </c>
      <c r="AZ134" t="s">
        <v>74</v>
      </c>
      <c r="BA134" t="s">
        <v>74</v>
      </c>
      <c r="BB134" t="s">
        <v>74</v>
      </c>
      <c r="BC134">
        <v>582</v>
      </c>
      <c r="BD134">
        <v>584</v>
      </c>
      <c r="BE134" t="s">
        <v>74</v>
      </c>
      <c r="BF134" t="s">
        <v>1885</v>
      </c>
      <c r="BG134" t="s">
        <v>3202</v>
      </c>
      <c r="BH134" t="s">
        <v>74</v>
      </c>
      <c r="BI134" t="s">
        <v>74</v>
      </c>
      <c r="BJ134">
        <v>3</v>
      </c>
      <c r="BK134" t="s">
        <v>1886</v>
      </c>
      <c r="BL134" t="s">
        <v>1041</v>
      </c>
      <c r="BM134" t="s">
        <v>1886</v>
      </c>
      <c r="BN134" t="s">
        <v>1887</v>
      </c>
      <c r="BO134">
        <v>7665708</v>
      </c>
      <c r="BP134" t="s">
        <v>1164</v>
      </c>
      <c r="BQ134" t="s">
        <v>74</v>
      </c>
      <c r="BR134" t="s">
        <v>74</v>
      </c>
      <c r="BS134" t="s">
        <v>86</v>
      </c>
      <c r="BT134" t="s">
        <v>1888</v>
      </c>
      <c r="BU134" t="s">
        <v>3164</v>
      </c>
    </row>
    <row r="135" spans="1:73" ht="272" x14ac:dyDescent="0.2">
      <c r="A135" t="s">
        <v>72</v>
      </c>
      <c r="B135" t="s">
        <v>1889</v>
      </c>
      <c r="C135" t="s">
        <v>74</v>
      </c>
      <c r="D135" t="s">
        <v>74</v>
      </c>
      <c r="E135" t="s">
        <v>74</v>
      </c>
      <c r="F135" t="s">
        <v>1890</v>
      </c>
      <c r="G135" t="s">
        <v>74</v>
      </c>
      <c r="H135" t="s">
        <v>74</v>
      </c>
      <c r="I135" t="s">
        <v>1891</v>
      </c>
      <c r="J135" t="s">
        <v>1892</v>
      </c>
      <c r="K135" t="s">
        <v>74</v>
      </c>
      <c r="L135" t="s">
        <v>74</v>
      </c>
      <c r="M135" t="s">
        <v>1025</v>
      </c>
      <c r="N135" t="s">
        <v>78</v>
      </c>
      <c r="O135" t="s">
        <v>74</v>
      </c>
      <c r="P135" t="s">
        <v>74</v>
      </c>
      <c r="Q135" t="s">
        <v>74</v>
      </c>
      <c r="R135" t="s">
        <v>74</v>
      </c>
      <c r="S135" t="s">
        <v>74</v>
      </c>
      <c r="T135" t="s">
        <v>1893</v>
      </c>
      <c r="U135" t="s">
        <v>1894</v>
      </c>
      <c r="V135" t="b">
        <v>0</v>
      </c>
      <c r="W135" s="1" t="s">
        <v>1895</v>
      </c>
      <c r="X135" t="s">
        <v>1896</v>
      </c>
      <c r="Y135" t="s">
        <v>1897</v>
      </c>
      <c r="Z135" t="s">
        <v>1898</v>
      </c>
      <c r="AA135" t="s">
        <v>1899</v>
      </c>
      <c r="AB135" t="s">
        <v>1900</v>
      </c>
      <c r="AC135" t="s">
        <v>1901</v>
      </c>
      <c r="AD135" t="s">
        <v>1902</v>
      </c>
      <c r="AE135" t="s">
        <v>1903</v>
      </c>
      <c r="AF135" t="s">
        <v>1904</v>
      </c>
      <c r="AG135" t="s">
        <v>74</v>
      </c>
      <c r="AH135">
        <v>28</v>
      </c>
      <c r="AI135">
        <v>77</v>
      </c>
      <c r="AJ135">
        <v>84</v>
      </c>
      <c r="AK135">
        <v>0</v>
      </c>
      <c r="AL135">
        <v>19</v>
      </c>
      <c r="AM135" t="s">
        <v>1905</v>
      </c>
      <c r="AN135" t="s">
        <v>1906</v>
      </c>
      <c r="AO135" t="s">
        <v>1907</v>
      </c>
      <c r="AP135" t="s">
        <v>1908</v>
      </c>
      <c r="AQ135" t="s">
        <v>1909</v>
      </c>
      <c r="AR135" t="s">
        <v>74</v>
      </c>
      <c r="AS135" t="s">
        <v>1910</v>
      </c>
      <c r="AT135" t="s">
        <v>1911</v>
      </c>
      <c r="AU135" t="s">
        <v>155</v>
      </c>
      <c r="AV135">
        <v>2013</v>
      </c>
      <c r="AW135">
        <v>119</v>
      </c>
      <c r="AX135">
        <v>3</v>
      </c>
      <c r="AY135" t="s">
        <v>74</v>
      </c>
      <c r="AZ135" t="s">
        <v>74</v>
      </c>
      <c r="BA135" t="s">
        <v>74</v>
      </c>
      <c r="BB135" t="s">
        <v>74</v>
      </c>
      <c r="BC135">
        <v>766</v>
      </c>
      <c r="BD135">
        <v>773</v>
      </c>
      <c r="BE135" t="s">
        <v>74</v>
      </c>
      <c r="BF135" t="s">
        <v>1912</v>
      </c>
      <c r="BG135" t="s">
        <v>3203</v>
      </c>
      <c r="BH135" t="s">
        <v>74</v>
      </c>
      <c r="BI135" t="s">
        <v>74</v>
      </c>
      <c r="BJ135">
        <v>8</v>
      </c>
      <c r="BK135" t="s">
        <v>1913</v>
      </c>
      <c r="BL135" t="s">
        <v>1041</v>
      </c>
      <c r="BM135" t="s">
        <v>1914</v>
      </c>
      <c r="BN135" t="s">
        <v>1915</v>
      </c>
      <c r="BO135">
        <v>23848820</v>
      </c>
      <c r="BP135" t="s">
        <v>1208</v>
      </c>
      <c r="BQ135" t="s">
        <v>74</v>
      </c>
      <c r="BR135" t="s">
        <v>74</v>
      </c>
      <c r="BS135" t="s">
        <v>86</v>
      </c>
      <c r="BT135" t="s">
        <v>1916</v>
      </c>
      <c r="BU135" t="s">
        <v>3164</v>
      </c>
    </row>
    <row r="136" spans="1:73" ht="136" x14ac:dyDescent="0.2">
      <c r="A136" t="s">
        <v>72</v>
      </c>
      <c r="B136" t="s">
        <v>1917</v>
      </c>
      <c r="C136" t="s">
        <v>74</v>
      </c>
      <c r="D136" t="s">
        <v>74</v>
      </c>
      <c r="E136" t="s">
        <v>74</v>
      </c>
      <c r="F136" t="s">
        <v>1918</v>
      </c>
      <c r="G136" t="s">
        <v>74</v>
      </c>
      <c r="H136" t="s">
        <v>74</v>
      </c>
      <c r="I136" t="s">
        <v>1919</v>
      </c>
      <c r="J136" t="s">
        <v>1920</v>
      </c>
      <c r="K136" t="s">
        <v>74</v>
      </c>
      <c r="L136" t="s">
        <v>74</v>
      </c>
      <c r="M136" t="s">
        <v>1025</v>
      </c>
      <c r="N136" t="s">
        <v>78</v>
      </c>
      <c r="O136" t="s">
        <v>74</v>
      </c>
      <c r="P136" t="s">
        <v>74</v>
      </c>
      <c r="Q136" t="s">
        <v>74</v>
      </c>
      <c r="R136" t="s">
        <v>74</v>
      </c>
      <c r="S136" t="s">
        <v>74</v>
      </c>
      <c r="T136" t="s">
        <v>1921</v>
      </c>
      <c r="U136" t="s">
        <v>1922</v>
      </c>
      <c r="V136" t="b">
        <v>0</v>
      </c>
      <c r="W136" s="1" t="s">
        <v>1923</v>
      </c>
      <c r="X136" t="s">
        <v>1924</v>
      </c>
      <c r="Y136" t="s">
        <v>1925</v>
      </c>
      <c r="Z136" t="s">
        <v>1926</v>
      </c>
      <c r="AA136" t="s">
        <v>1927</v>
      </c>
      <c r="AB136" t="s">
        <v>1928</v>
      </c>
      <c r="AC136" t="s">
        <v>1929</v>
      </c>
      <c r="AD136" t="s">
        <v>74</v>
      </c>
      <c r="AE136" t="s">
        <v>74</v>
      </c>
      <c r="AF136" t="s">
        <v>74</v>
      </c>
      <c r="AG136" t="s">
        <v>74</v>
      </c>
      <c r="AH136">
        <v>42</v>
      </c>
      <c r="AI136">
        <v>7</v>
      </c>
      <c r="AJ136">
        <v>7</v>
      </c>
      <c r="AK136">
        <v>0</v>
      </c>
      <c r="AL136">
        <v>3</v>
      </c>
      <c r="AM136" t="s">
        <v>1930</v>
      </c>
      <c r="AN136" t="s">
        <v>1060</v>
      </c>
      <c r="AO136" t="s">
        <v>1931</v>
      </c>
      <c r="AP136" t="s">
        <v>74</v>
      </c>
      <c r="AQ136" t="s">
        <v>1932</v>
      </c>
      <c r="AR136" t="s">
        <v>74</v>
      </c>
      <c r="AS136" t="s">
        <v>1933</v>
      </c>
      <c r="AT136" t="s">
        <v>1934</v>
      </c>
      <c r="AU136" t="s">
        <v>1935</v>
      </c>
      <c r="AV136">
        <v>2023</v>
      </c>
      <c r="AW136">
        <v>17</v>
      </c>
      <c r="AX136" t="s">
        <v>74</v>
      </c>
      <c r="AY136" t="s">
        <v>74</v>
      </c>
      <c r="AZ136" t="s">
        <v>74</v>
      </c>
      <c r="BA136" t="s">
        <v>74</v>
      </c>
      <c r="BB136" t="s">
        <v>74</v>
      </c>
      <c r="BC136" t="s">
        <v>74</v>
      </c>
      <c r="BD136" t="s">
        <v>74</v>
      </c>
      <c r="BE136">
        <v>1101006</v>
      </c>
      <c r="BF136" t="s">
        <v>1936</v>
      </c>
      <c r="BG136" t="s">
        <v>3204</v>
      </c>
      <c r="BH136" t="s">
        <v>74</v>
      </c>
      <c r="BI136" t="s">
        <v>74</v>
      </c>
      <c r="BJ136">
        <v>5</v>
      </c>
      <c r="BK136" t="s">
        <v>1937</v>
      </c>
      <c r="BL136" t="s">
        <v>1041</v>
      </c>
      <c r="BM136" t="s">
        <v>1938</v>
      </c>
      <c r="BN136" t="s">
        <v>1939</v>
      </c>
      <c r="BO136">
        <v>36970419</v>
      </c>
      <c r="BP136" t="s">
        <v>1466</v>
      </c>
      <c r="BQ136" t="s">
        <v>74</v>
      </c>
      <c r="BR136" t="s">
        <v>74</v>
      </c>
      <c r="BS136" t="s">
        <v>86</v>
      </c>
      <c r="BT136" t="s">
        <v>1940</v>
      </c>
      <c r="BU136" t="s">
        <v>3164</v>
      </c>
    </row>
    <row r="137" spans="1:73" ht="153" x14ac:dyDescent="0.2">
      <c r="A137" t="s">
        <v>72</v>
      </c>
      <c r="B137" t="s">
        <v>1941</v>
      </c>
      <c r="C137" t="s">
        <v>74</v>
      </c>
      <c r="D137" t="s">
        <v>74</v>
      </c>
      <c r="E137" t="s">
        <v>74</v>
      </c>
      <c r="F137" t="s">
        <v>1942</v>
      </c>
      <c r="G137" t="s">
        <v>74</v>
      </c>
      <c r="H137" t="s">
        <v>74</v>
      </c>
      <c r="I137" t="s">
        <v>1943</v>
      </c>
      <c r="J137" t="s">
        <v>1944</v>
      </c>
      <c r="K137" t="s">
        <v>74</v>
      </c>
      <c r="L137" t="s">
        <v>74</v>
      </c>
      <c r="M137" t="s">
        <v>1025</v>
      </c>
      <c r="N137" t="s">
        <v>78</v>
      </c>
      <c r="O137" t="s">
        <v>74</v>
      </c>
      <c r="P137" t="s">
        <v>74</v>
      </c>
      <c r="Q137" t="s">
        <v>74</v>
      </c>
      <c r="R137" t="s">
        <v>74</v>
      </c>
      <c r="S137" t="s">
        <v>74</v>
      </c>
      <c r="T137" t="s">
        <v>1945</v>
      </c>
      <c r="U137" t="s">
        <v>1946</v>
      </c>
      <c r="V137" t="b">
        <v>0</v>
      </c>
      <c r="W137" s="1" t="s">
        <v>1947</v>
      </c>
      <c r="X137" t="s">
        <v>1948</v>
      </c>
      <c r="Y137" t="s">
        <v>1232</v>
      </c>
      <c r="Z137" t="s">
        <v>1949</v>
      </c>
      <c r="AA137" t="s">
        <v>1950</v>
      </c>
      <c r="AB137" t="s">
        <v>1951</v>
      </c>
      <c r="AC137" t="s">
        <v>74</v>
      </c>
      <c r="AD137" t="s">
        <v>1952</v>
      </c>
      <c r="AE137" t="s">
        <v>1953</v>
      </c>
      <c r="AF137" t="s">
        <v>1954</v>
      </c>
      <c r="AG137" t="s">
        <v>74</v>
      </c>
      <c r="AH137">
        <v>35</v>
      </c>
      <c r="AI137">
        <v>28</v>
      </c>
      <c r="AJ137">
        <v>33</v>
      </c>
      <c r="AK137">
        <v>0</v>
      </c>
      <c r="AL137">
        <v>16</v>
      </c>
      <c r="AM137" t="s">
        <v>1955</v>
      </c>
      <c r="AN137" t="s">
        <v>1956</v>
      </c>
      <c r="AO137" t="s">
        <v>1957</v>
      </c>
      <c r="AP137" t="s">
        <v>1958</v>
      </c>
      <c r="AQ137" t="s">
        <v>1959</v>
      </c>
      <c r="AR137" t="s">
        <v>74</v>
      </c>
      <c r="AS137" t="s">
        <v>1960</v>
      </c>
      <c r="AT137" t="s">
        <v>1961</v>
      </c>
      <c r="AU137" t="s">
        <v>1962</v>
      </c>
      <c r="AV137">
        <v>2018</v>
      </c>
      <c r="AW137">
        <v>495</v>
      </c>
      <c r="AX137">
        <v>4</v>
      </c>
      <c r="AY137" t="s">
        <v>74</v>
      </c>
      <c r="AZ137" t="s">
        <v>74</v>
      </c>
      <c r="BA137" t="s">
        <v>74</v>
      </c>
      <c r="BB137" t="s">
        <v>74</v>
      </c>
      <c r="BC137">
        <v>2525</v>
      </c>
      <c r="BD137">
        <v>2531</v>
      </c>
      <c r="BE137" t="s">
        <v>74</v>
      </c>
      <c r="BF137" t="s">
        <v>1963</v>
      </c>
      <c r="BG137" t="s">
        <v>3205</v>
      </c>
      <c r="BH137" t="s">
        <v>74</v>
      </c>
      <c r="BI137" t="s">
        <v>74</v>
      </c>
      <c r="BJ137">
        <v>7</v>
      </c>
      <c r="BK137" t="s">
        <v>1964</v>
      </c>
      <c r="BL137" t="s">
        <v>1041</v>
      </c>
      <c r="BM137" t="s">
        <v>1964</v>
      </c>
      <c r="BN137" t="s">
        <v>1965</v>
      </c>
      <c r="BO137">
        <v>29274777</v>
      </c>
      <c r="BP137" t="s">
        <v>74</v>
      </c>
      <c r="BQ137" t="s">
        <v>74</v>
      </c>
      <c r="BR137" t="s">
        <v>74</v>
      </c>
      <c r="BS137" t="s">
        <v>86</v>
      </c>
      <c r="BT137" t="s">
        <v>1966</v>
      </c>
      <c r="BU137" t="s">
        <v>3164</v>
      </c>
    </row>
    <row r="138" spans="1:73" ht="204" x14ac:dyDescent="0.2">
      <c r="A138" t="s">
        <v>72</v>
      </c>
      <c r="B138" t="s">
        <v>1967</v>
      </c>
      <c r="C138" t="s">
        <v>74</v>
      </c>
      <c r="D138" t="s">
        <v>74</v>
      </c>
      <c r="E138" t="s">
        <v>74</v>
      </c>
      <c r="F138" t="s">
        <v>1968</v>
      </c>
      <c r="G138" t="s">
        <v>74</v>
      </c>
      <c r="H138" t="s">
        <v>74</v>
      </c>
      <c r="I138" t="s">
        <v>1969</v>
      </c>
      <c r="J138" t="s">
        <v>1970</v>
      </c>
      <c r="K138" t="s">
        <v>74</v>
      </c>
      <c r="L138" t="s">
        <v>74</v>
      </c>
      <c r="M138" t="s">
        <v>1025</v>
      </c>
      <c r="N138" t="s">
        <v>452</v>
      </c>
      <c r="O138" t="s">
        <v>74</v>
      </c>
      <c r="P138" t="s">
        <v>74</v>
      </c>
      <c r="Q138" t="s">
        <v>74</v>
      </c>
      <c r="R138" t="s">
        <v>74</v>
      </c>
      <c r="S138" t="s">
        <v>74</v>
      </c>
      <c r="T138" t="s">
        <v>1971</v>
      </c>
      <c r="U138" t="s">
        <v>1972</v>
      </c>
      <c r="V138" t="b">
        <v>0</v>
      </c>
      <c r="W138" s="1" t="s">
        <v>1973</v>
      </c>
      <c r="X138" t="s">
        <v>1974</v>
      </c>
      <c r="Y138" t="s">
        <v>1975</v>
      </c>
      <c r="Z138" t="s">
        <v>1976</v>
      </c>
      <c r="AA138" t="s">
        <v>1977</v>
      </c>
      <c r="AB138" t="s">
        <v>74</v>
      </c>
      <c r="AC138" t="s">
        <v>74</v>
      </c>
      <c r="AD138" t="s">
        <v>74</v>
      </c>
      <c r="AE138" t="s">
        <v>74</v>
      </c>
      <c r="AF138" t="s">
        <v>74</v>
      </c>
      <c r="AG138" t="s">
        <v>74</v>
      </c>
      <c r="AH138">
        <v>39</v>
      </c>
      <c r="AI138">
        <v>3</v>
      </c>
      <c r="AJ138">
        <v>5</v>
      </c>
      <c r="AK138">
        <v>0</v>
      </c>
      <c r="AL138">
        <v>2</v>
      </c>
      <c r="AM138" t="s">
        <v>1978</v>
      </c>
      <c r="AN138" t="s">
        <v>1419</v>
      </c>
      <c r="AO138" t="s">
        <v>1979</v>
      </c>
      <c r="AP138" t="s">
        <v>1980</v>
      </c>
      <c r="AQ138" t="s">
        <v>1981</v>
      </c>
      <c r="AR138" t="s">
        <v>74</v>
      </c>
      <c r="AS138" t="s">
        <v>1982</v>
      </c>
      <c r="AT138" t="s">
        <v>1983</v>
      </c>
      <c r="AU138" t="s">
        <v>1984</v>
      </c>
      <c r="AV138">
        <v>2021</v>
      </c>
      <c r="AW138">
        <v>44</v>
      </c>
      <c r="AX138">
        <v>2</v>
      </c>
      <c r="AY138" t="s">
        <v>74</v>
      </c>
      <c r="AZ138" t="s">
        <v>74</v>
      </c>
      <c r="BA138" t="s">
        <v>74</v>
      </c>
      <c r="BB138" t="s">
        <v>74</v>
      </c>
      <c r="BC138">
        <v>62</v>
      </c>
      <c r="BD138">
        <v>67</v>
      </c>
      <c r="BE138" t="s">
        <v>74</v>
      </c>
      <c r="BF138" t="s">
        <v>1985</v>
      </c>
      <c r="BG138" t="s">
        <v>3206</v>
      </c>
      <c r="BH138" t="s">
        <v>74</v>
      </c>
      <c r="BI138" t="s">
        <v>74</v>
      </c>
      <c r="BJ138">
        <v>6</v>
      </c>
      <c r="BK138" t="s">
        <v>1986</v>
      </c>
      <c r="BL138" t="s">
        <v>1041</v>
      </c>
      <c r="BM138" t="s">
        <v>1987</v>
      </c>
      <c r="BN138" t="s">
        <v>1988</v>
      </c>
      <c r="BO138">
        <v>33560007</v>
      </c>
      <c r="BP138" t="s">
        <v>1989</v>
      </c>
      <c r="BQ138" t="s">
        <v>74</v>
      </c>
      <c r="BR138" t="s">
        <v>74</v>
      </c>
      <c r="BS138" t="s">
        <v>86</v>
      </c>
      <c r="BT138" t="s">
        <v>1990</v>
      </c>
      <c r="BU138" t="s">
        <v>3164</v>
      </c>
    </row>
    <row r="139" spans="1:73" ht="85" x14ac:dyDescent="0.2">
      <c r="A139" t="s">
        <v>72</v>
      </c>
      <c r="B139" t="s">
        <v>1991</v>
      </c>
      <c r="C139" t="s">
        <v>74</v>
      </c>
      <c r="D139" t="s">
        <v>74</v>
      </c>
      <c r="E139" t="s">
        <v>74</v>
      </c>
      <c r="F139" t="s">
        <v>1992</v>
      </c>
      <c r="G139" t="s">
        <v>74</v>
      </c>
      <c r="H139" t="s">
        <v>74</v>
      </c>
      <c r="I139" t="s">
        <v>1993</v>
      </c>
      <c r="J139" t="s">
        <v>1994</v>
      </c>
      <c r="K139" t="s">
        <v>74</v>
      </c>
      <c r="L139" t="s">
        <v>74</v>
      </c>
      <c r="M139" t="s">
        <v>1025</v>
      </c>
      <c r="N139" t="s">
        <v>78</v>
      </c>
      <c r="O139" t="s">
        <v>74</v>
      </c>
      <c r="P139" t="s">
        <v>74</v>
      </c>
      <c r="Q139" t="s">
        <v>74</v>
      </c>
      <c r="R139" t="s">
        <v>74</v>
      </c>
      <c r="S139" t="s">
        <v>74</v>
      </c>
      <c r="T139" t="s">
        <v>74</v>
      </c>
      <c r="U139" t="s">
        <v>1995</v>
      </c>
      <c r="V139" t="b">
        <v>0</v>
      </c>
      <c r="W139" s="1" t="s">
        <v>1996</v>
      </c>
      <c r="X139" t="s">
        <v>1997</v>
      </c>
      <c r="Y139" t="s">
        <v>1998</v>
      </c>
      <c r="Z139" t="s">
        <v>1999</v>
      </c>
      <c r="AA139" t="s">
        <v>74</v>
      </c>
      <c r="AB139" t="s">
        <v>2000</v>
      </c>
      <c r="AC139" t="s">
        <v>2001</v>
      </c>
      <c r="AD139" t="s">
        <v>2002</v>
      </c>
      <c r="AE139" t="s">
        <v>2003</v>
      </c>
      <c r="AF139" t="s">
        <v>2004</v>
      </c>
      <c r="AG139" t="s">
        <v>74</v>
      </c>
      <c r="AH139">
        <v>30</v>
      </c>
      <c r="AI139">
        <v>9</v>
      </c>
      <c r="AJ139">
        <v>14</v>
      </c>
      <c r="AK139">
        <v>0</v>
      </c>
      <c r="AL139">
        <v>5</v>
      </c>
      <c r="AM139" t="s">
        <v>2005</v>
      </c>
      <c r="AN139" t="s">
        <v>1297</v>
      </c>
      <c r="AO139" t="s">
        <v>2006</v>
      </c>
      <c r="AP139" t="s">
        <v>2007</v>
      </c>
      <c r="AQ139" t="s">
        <v>74</v>
      </c>
      <c r="AR139" t="s">
        <v>74</v>
      </c>
      <c r="AS139" t="s">
        <v>2008</v>
      </c>
      <c r="AT139" t="s">
        <v>2009</v>
      </c>
      <c r="AU139" t="s">
        <v>2010</v>
      </c>
      <c r="AV139">
        <v>2009</v>
      </c>
      <c r="AW139">
        <v>17</v>
      </c>
      <c r="AX139">
        <v>25</v>
      </c>
      <c r="AY139" t="s">
        <v>74</v>
      </c>
      <c r="AZ139" t="s">
        <v>74</v>
      </c>
      <c r="BA139" t="s">
        <v>74</v>
      </c>
      <c r="BB139" t="s">
        <v>74</v>
      </c>
      <c r="BC139">
        <v>22586</v>
      </c>
      <c r="BD139">
        <v>22602</v>
      </c>
      <c r="BE139" t="s">
        <v>74</v>
      </c>
      <c r="BF139" t="s">
        <v>2011</v>
      </c>
      <c r="BG139" t="s">
        <v>3207</v>
      </c>
      <c r="BH139" t="s">
        <v>74</v>
      </c>
      <c r="BI139" t="s">
        <v>74</v>
      </c>
      <c r="BJ139">
        <v>17</v>
      </c>
      <c r="BK139" t="s">
        <v>2012</v>
      </c>
      <c r="BL139" t="s">
        <v>1041</v>
      </c>
      <c r="BM139" t="s">
        <v>2012</v>
      </c>
      <c r="BN139" t="s">
        <v>2013</v>
      </c>
      <c r="BO139">
        <v>20052184</v>
      </c>
      <c r="BP139" t="s">
        <v>2014</v>
      </c>
      <c r="BQ139" t="s">
        <v>74</v>
      </c>
      <c r="BR139" t="s">
        <v>74</v>
      </c>
      <c r="BS139" t="s">
        <v>86</v>
      </c>
      <c r="BT139" t="s">
        <v>2015</v>
      </c>
      <c r="BU139" t="s">
        <v>3164</v>
      </c>
    </row>
    <row r="140" spans="1:73" ht="153" x14ac:dyDescent="0.2">
      <c r="A140" t="s">
        <v>72</v>
      </c>
      <c r="B140" t="s">
        <v>159</v>
      </c>
      <c r="C140" t="s">
        <v>74</v>
      </c>
      <c r="D140" t="s">
        <v>74</v>
      </c>
      <c r="E140" t="s">
        <v>74</v>
      </c>
      <c r="F140" t="s">
        <v>160</v>
      </c>
      <c r="G140" t="s">
        <v>74</v>
      </c>
      <c r="H140" t="s">
        <v>74</v>
      </c>
      <c r="I140" t="s">
        <v>161</v>
      </c>
      <c r="J140" t="s">
        <v>162</v>
      </c>
      <c r="K140" t="s">
        <v>74</v>
      </c>
      <c r="L140" t="s">
        <v>74</v>
      </c>
      <c r="M140" t="s">
        <v>1025</v>
      </c>
      <c r="N140" t="s">
        <v>78</v>
      </c>
      <c r="O140" t="s">
        <v>74</v>
      </c>
      <c r="P140" t="s">
        <v>74</v>
      </c>
      <c r="Q140" t="s">
        <v>74</v>
      </c>
      <c r="R140" t="s">
        <v>74</v>
      </c>
      <c r="S140" t="s">
        <v>74</v>
      </c>
      <c r="T140" t="s">
        <v>2016</v>
      </c>
      <c r="U140" t="s">
        <v>2017</v>
      </c>
      <c r="V140" t="b">
        <v>1</v>
      </c>
      <c r="W140" s="1" t="s">
        <v>163</v>
      </c>
      <c r="X140" t="s">
        <v>164</v>
      </c>
      <c r="Y140" t="s">
        <v>2018</v>
      </c>
      <c r="Z140" t="s">
        <v>165</v>
      </c>
      <c r="AA140" t="s">
        <v>166</v>
      </c>
      <c r="AB140" t="s">
        <v>2019</v>
      </c>
      <c r="AC140" t="s">
        <v>2020</v>
      </c>
      <c r="AD140" t="s">
        <v>2021</v>
      </c>
      <c r="AE140" t="s">
        <v>2022</v>
      </c>
      <c r="AF140" t="s">
        <v>2023</v>
      </c>
      <c r="AG140" t="s">
        <v>74</v>
      </c>
      <c r="AH140">
        <v>78</v>
      </c>
      <c r="AI140">
        <v>31</v>
      </c>
      <c r="AJ140">
        <v>35</v>
      </c>
      <c r="AK140">
        <v>62</v>
      </c>
      <c r="AL140">
        <v>219</v>
      </c>
      <c r="AM140" t="s">
        <v>2024</v>
      </c>
      <c r="AN140" t="s">
        <v>1297</v>
      </c>
      <c r="AO140" t="s">
        <v>2025</v>
      </c>
      <c r="AP140" t="s">
        <v>2026</v>
      </c>
      <c r="AQ140" t="s">
        <v>2027</v>
      </c>
      <c r="AR140" t="s">
        <v>74</v>
      </c>
      <c r="AS140" t="s">
        <v>2028</v>
      </c>
      <c r="AT140" t="s">
        <v>2029</v>
      </c>
      <c r="AU140" t="s">
        <v>167</v>
      </c>
      <c r="AV140">
        <v>2024</v>
      </c>
      <c r="AW140">
        <v>58</v>
      </c>
      <c r="AX140">
        <v>50</v>
      </c>
      <c r="AY140" t="s">
        <v>74</v>
      </c>
      <c r="AZ140" t="s">
        <v>74</v>
      </c>
      <c r="BA140" t="s">
        <v>74</v>
      </c>
      <c r="BB140" t="s">
        <v>74</v>
      </c>
      <c r="BC140">
        <v>22135</v>
      </c>
      <c r="BD140">
        <v>22147</v>
      </c>
      <c r="BE140" t="s">
        <v>74</v>
      </c>
      <c r="BF140" t="s">
        <v>168</v>
      </c>
      <c r="BG140" t="s">
        <v>3208</v>
      </c>
      <c r="BH140" t="s">
        <v>74</v>
      </c>
      <c r="BI140" t="s">
        <v>169</v>
      </c>
      <c r="BJ140">
        <v>13</v>
      </c>
      <c r="BK140" t="s">
        <v>1040</v>
      </c>
      <c r="BL140" t="s">
        <v>1041</v>
      </c>
      <c r="BM140" t="s">
        <v>1042</v>
      </c>
      <c r="BN140" t="s">
        <v>2030</v>
      </c>
      <c r="BO140">
        <v>39642039</v>
      </c>
      <c r="BP140" t="s">
        <v>2031</v>
      </c>
      <c r="BQ140" t="s">
        <v>74</v>
      </c>
      <c r="BR140" t="s">
        <v>74</v>
      </c>
      <c r="BS140" t="s">
        <v>86</v>
      </c>
      <c r="BT140" t="s">
        <v>170</v>
      </c>
      <c r="BU140" t="s">
        <v>3164</v>
      </c>
    </row>
    <row r="141" spans="1:73" ht="119" x14ac:dyDescent="0.2">
      <c r="A141" t="s">
        <v>72</v>
      </c>
      <c r="B141" t="s">
        <v>2032</v>
      </c>
      <c r="C141" t="s">
        <v>74</v>
      </c>
      <c r="D141" t="s">
        <v>74</v>
      </c>
      <c r="E141" t="s">
        <v>74</v>
      </c>
      <c r="F141" t="s">
        <v>2032</v>
      </c>
      <c r="G141" t="s">
        <v>74</v>
      </c>
      <c r="H141" t="s">
        <v>74</v>
      </c>
      <c r="I141" t="s">
        <v>2033</v>
      </c>
      <c r="J141" t="s">
        <v>2034</v>
      </c>
      <c r="K141" t="s">
        <v>74</v>
      </c>
      <c r="L141" t="s">
        <v>74</v>
      </c>
      <c r="M141" t="s">
        <v>1025</v>
      </c>
      <c r="N141" t="s">
        <v>78</v>
      </c>
      <c r="O141" t="s">
        <v>74</v>
      </c>
      <c r="P141" t="s">
        <v>74</v>
      </c>
      <c r="Q141" t="s">
        <v>74</v>
      </c>
      <c r="R141" t="s">
        <v>74</v>
      </c>
      <c r="S141" t="s">
        <v>74</v>
      </c>
      <c r="T141" t="s">
        <v>2035</v>
      </c>
      <c r="U141" t="s">
        <v>2036</v>
      </c>
      <c r="V141" t="b">
        <v>0</v>
      </c>
      <c r="W141" s="1" t="s">
        <v>2037</v>
      </c>
      <c r="X141" t="s">
        <v>2038</v>
      </c>
      <c r="Y141" t="s">
        <v>2039</v>
      </c>
      <c r="Z141" t="s">
        <v>2040</v>
      </c>
      <c r="AA141" t="s">
        <v>2041</v>
      </c>
      <c r="AB141" t="s">
        <v>2042</v>
      </c>
      <c r="AC141" t="s">
        <v>74</v>
      </c>
      <c r="AD141" t="s">
        <v>74</v>
      </c>
      <c r="AE141" t="s">
        <v>74</v>
      </c>
      <c r="AF141" t="s">
        <v>74</v>
      </c>
      <c r="AG141" t="s">
        <v>74</v>
      </c>
      <c r="AH141">
        <v>28</v>
      </c>
      <c r="AI141">
        <v>14</v>
      </c>
      <c r="AJ141">
        <v>14</v>
      </c>
      <c r="AK141">
        <v>0</v>
      </c>
      <c r="AL141">
        <v>19</v>
      </c>
      <c r="AM141" t="s">
        <v>2043</v>
      </c>
      <c r="AN141" t="s">
        <v>2044</v>
      </c>
      <c r="AO141" t="s">
        <v>2045</v>
      </c>
      <c r="AP141" t="s">
        <v>2046</v>
      </c>
      <c r="AQ141" t="s">
        <v>74</v>
      </c>
      <c r="AR141" t="s">
        <v>74</v>
      </c>
      <c r="AS141" t="s">
        <v>2047</v>
      </c>
      <c r="AT141" t="s">
        <v>2048</v>
      </c>
      <c r="AU141" t="s">
        <v>155</v>
      </c>
      <c r="AV141">
        <v>2005</v>
      </c>
      <c r="AW141">
        <v>44</v>
      </c>
      <c r="AX141" t="s">
        <v>2049</v>
      </c>
      <c r="AY141">
        <v>1</v>
      </c>
      <c r="AZ141" t="s">
        <v>74</v>
      </c>
      <c r="BA141" t="s">
        <v>74</v>
      </c>
      <c r="BB141" t="s">
        <v>74</v>
      </c>
      <c r="BC141">
        <v>6683</v>
      </c>
      <c r="BD141">
        <v>6687</v>
      </c>
      <c r="BE141" t="s">
        <v>74</v>
      </c>
      <c r="BF141" t="s">
        <v>2050</v>
      </c>
      <c r="BG141" t="s">
        <v>3209</v>
      </c>
      <c r="BH141" t="s">
        <v>74</v>
      </c>
      <c r="BI141" t="s">
        <v>74</v>
      </c>
      <c r="BJ141">
        <v>5</v>
      </c>
      <c r="BK141" t="s">
        <v>2051</v>
      </c>
      <c r="BL141" t="s">
        <v>1041</v>
      </c>
      <c r="BM141" t="s">
        <v>1705</v>
      </c>
      <c r="BN141" t="s">
        <v>2052</v>
      </c>
      <c r="BO141" t="s">
        <v>74</v>
      </c>
      <c r="BP141" t="s">
        <v>74</v>
      </c>
      <c r="BQ141" t="s">
        <v>74</v>
      </c>
      <c r="BR141" t="s">
        <v>74</v>
      </c>
      <c r="BS141" t="s">
        <v>86</v>
      </c>
      <c r="BT141" t="s">
        <v>2053</v>
      </c>
      <c r="BU141" t="s">
        <v>3164</v>
      </c>
    </row>
    <row r="142" spans="1:73" ht="51" x14ac:dyDescent="0.2">
      <c r="A142" t="s">
        <v>72</v>
      </c>
      <c r="B142" t="s">
        <v>2054</v>
      </c>
      <c r="C142" t="s">
        <v>74</v>
      </c>
      <c r="D142" t="s">
        <v>74</v>
      </c>
      <c r="E142" t="s">
        <v>74</v>
      </c>
      <c r="F142" t="s">
        <v>2054</v>
      </c>
      <c r="G142" t="s">
        <v>74</v>
      </c>
      <c r="H142" t="s">
        <v>74</v>
      </c>
      <c r="I142" t="s">
        <v>2055</v>
      </c>
      <c r="J142" t="s">
        <v>2056</v>
      </c>
      <c r="K142" t="s">
        <v>74</v>
      </c>
      <c r="L142" t="s">
        <v>74</v>
      </c>
      <c r="M142" t="s">
        <v>2057</v>
      </c>
      <c r="N142" t="s">
        <v>78</v>
      </c>
      <c r="O142" t="s">
        <v>74</v>
      </c>
      <c r="P142" t="s">
        <v>74</v>
      </c>
      <c r="Q142" t="s">
        <v>74</v>
      </c>
      <c r="R142" t="s">
        <v>74</v>
      </c>
      <c r="S142" t="s">
        <v>74</v>
      </c>
      <c r="T142" t="s">
        <v>2058</v>
      </c>
      <c r="U142" t="s">
        <v>2059</v>
      </c>
      <c r="V142" t="b">
        <v>0</v>
      </c>
      <c r="W142" s="1" t="s">
        <v>2060</v>
      </c>
      <c r="X142" t="s">
        <v>2061</v>
      </c>
      <c r="Y142" t="s">
        <v>2062</v>
      </c>
      <c r="Z142" t="s">
        <v>2063</v>
      </c>
      <c r="AA142" t="s">
        <v>74</v>
      </c>
      <c r="AB142" t="s">
        <v>74</v>
      </c>
      <c r="AC142" t="s">
        <v>74</v>
      </c>
      <c r="AD142" t="s">
        <v>74</v>
      </c>
      <c r="AE142" t="s">
        <v>74</v>
      </c>
      <c r="AF142" t="s">
        <v>74</v>
      </c>
      <c r="AG142" t="s">
        <v>74</v>
      </c>
      <c r="AH142">
        <v>36</v>
      </c>
      <c r="AI142">
        <v>1</v>
      </c>
      <c r="AJ142">
        <v>1</v>
      </c>
      <c r="AK142">
        <v>0</v>
      </c>
      <c r="AL142">
        <v>5</v>
      </c>
      <c r="AM142" t="s">
        <v>2064</v>
      </c>
      <c r="AN142" t="s">
        <v>2065</v>
      </c>
      <c r="AO142" t="s">
        <v>2066</v>
      </c>
      <c r="AP142" t="s">
        <v>2067</v>
      </c>
      <c r="AQ142" t="s">
        <v>74</v>
      </c>
      <c r="AR142" t="s">
        <v>74</v>
      </c>
      <c r="AS142" t="s">
        <v>2068</v>
      </c>
      <c r="AT142" t="s">
        <v>2069</v>
      </c>
      <c r="AU142" t="s">
        <v>269</v>
      </c>
      <c r="AV142">
        <v>1998</v>
      </c>
      <c r="AW142">
        <v>22</v>
      </c>
      <c r="AX142">
        <v>2</v>
      </c>
      <c r="AY142" t="s">
        <v>74</v>
      </c>
      <c r="AZ142" t="s">
        <v>74</v>
      </c>
      <c r="BA142" t="s">
        <v>74</v>
      </c>
      <c r="BB142" t="s">
        <v>74</v>
      </c>
      <c r="BC142">
        <v>275</v>
      </c>
      <c r="BD142">
        <v>284</v>
      </c>
      <c r="BE142" t="s">
        <v>74</v>
      </c>
      <c r="BF142" t="s">
        <v>74</v>
      </c>
      <c r="BG142" t="s">
        <v>74</v>
      </c>
      <c r="BH142" t="s">
        <v>74</v>
      </c>
      <c r="BI142" t="s">
        <v>74</v>
      </c>
      <c r="BJ142">
        <v>10</v>
      </c>
      <c r="BK142" t="s">
        <v>2070</v>
      </c>
      <c r="BL142" t="s">
        <v>1041</v>
      </c>
      <c r="BM142" t="s">
        <v>2070</v>
      </c>
      <c r="BN142" t="s">
        <v>2071</v>
      </c>
      <c r="BO142" t="s">
        <v>74</v>
      </c>
      <c r="BP142" t="s">
        <v>74</v>
      </c>
      <c r="BQ142" t="s">
        <v>74</v>
      </c>
      <c r="BR142" t="s">
        <v>74</v>
      </c>
      <c r="BS142" t="s">
        <v>86</v>
      </c>
      <c r="BT142" t="s">
        <v>2072</v>
      </c>
      <c r="BU142" t="s">
        <v>3164</v>
      </c>
    </row>
    <row r="143" spans="1:73" ht="68" x14ac:dyDescent="0.2">
      <c r="A143" t="s">
        <v>72</v>
      </c>
      <c r="B143" t="s">
        <v>2073</v>
      </c>
      <c r="C143" t="s">
        <v>74</v>
      </c>
      <c r="D143" t="s">
        <v>74</v>
      </c>
      <c r="E143" t="s">
        <v>74</v>
      </c>
      <c r="F143" t="s">
        <v>2073</v>
      </c>
      <c r="G143" t="s">
        <v>74</v>
      </c>
      <c r="H143" t="s">
        <v>74</v>
      </c>
      <c r="I143" t="s">
        <v>2074</v>
      </c>
      <c r="J143" t="s">
        <v>336</v>
      </c>
      <c r="K143" t="s">
        <v>74</v>
      </c>
      <c r="L143" t="s">
        <v>74</v>
      </c>
      <c r="M143" t="s">
        <v>1025</v>
      </c>
      <c r="N143" t="s">
        <v>337</v>
      </c>
      <c r="O143" t="s">
        <v>2075</v>
      </c>
      <c r="P143" t="s">
        <v>2076</v>
      </c>
      <c r="Q143" t="s">
        <v>2077</v>
      </c>
      <c r="R143" t="s">
        <v>2078</v>
      </c>
      <c r="S143" t="s">
        <v>74</v>
      </c>
      <c r="T143" t="s">
        <v>2079</v>
      </c>
      <c r="U143" t="s">
        <v>74</v>
      </c>
      <c r="V143" t="b">
        <v>0</v>
      </c>
      <c r="W143" s="1" t="s">
        <v>2080</v>
      </c>
      <c r="X143" t="s">
        <v>2081</v>
      </c>
      <c r="Y143" t="s">
        <v>2082</v>
      </c>
      <c r="Z143" t="s">
        <v>2083</v>
      </c>
      <c r="AA143" t="s">
        <v>2084</v>
      </c>
      <c r="AB143" t="s">
        <v>2085</v>
      </c>
      <c r="AC143" t="s">
        <v>74</v>
      </c>
      <c r="AD143" t="s">
        <v>74</v>
      </c>
      <c r="AE143" t="s">
        <v>74</v>
      </c>
      <c r="AF143" t="s">
        <v>74</v>
      </c>
      <c r="AG143" t="s">
        <v>74</v>
      </c>
      <c r="AH143">
        <v>7</v>
      </c>
      <c r="AI143">
        <v>4</v>
      </c>
      <c r="AJ143">
        <v>4</v>
      </c>
      <c r="AK143">
        <v>0</v>
      </c>
      <c r="AL143">
        <v>1</v>
      </c>
      <c r="AM143" t="s">
        <v>1033</v>
      </c>
      <c r="AN143" t="s">
        <v>1034</v>
      </c>
      <c r="AO143" t="s">
        <v>1035</v>
      </c>
      <c r="AP143" t="s">
        <v>1360</v>
      </c>
      <c r="AQ143" t="s">
        <v>1361</v>
      </c>
      <c r="AR143" t="s">
        <v>74</v>
      </c>
      <c r="AS143" t="s">
        <v>1362</v>
      </c>
      <c r="AT143" t="s">
        <v>1363</v>
      </c>
      <c r="AU143" t="s">
        <v>269</v>
      </c>
      <c r="AV143">
        <v>1999</v>
      </c>
      <c r="AW143">
        <v>266</v>
      </c>
      <c r="AX143" t="s">
        <v>74</v>
      </c>
      <c r="AY143" t="s">
        <v>74</v>
      </c>
      <c r="AZ143" t="s">
        <v>74</v>
      </c>
      <c r="BA143" t="s">
        <v>74</v>
      </c>
      <c r="BB143" t="s">
        <v>74</v>
      </c>
      <c r="BC143">
        <v>618</v>
      </c>
      <c r="BD143">
        <v>622</v>
      </c>
      <c r="BE143" t="s">
        <v>74</v>
      </c>
      <c r="BF143" t="s">
        <v>2086</v>
      </c>
      <c r="BG143" t="s">
        <v>3210</v>
      </c>
      <c r="BH143" t="s">
        <v>74</v>
      </c>
      <c r="BI143" t="s">
        <v>74</v>
      </c>
      <c r="BJ143">
        <v>5</v>
      </c>
      <c r="BK143" t="s">
        <v>1368</v>
      </c>
      <c r="BL143" t="s">
        <v>1186</v>
      </c>
      <c r="BM143" t="s">
        <v>1369</v>
      </c>
      <c r="BN143" t="s">
        <v>2087</v>
      </c>
      <c r="BO143" t="s">
        <v>74</v>
      </c>
      <c r="BP143" t="s">
        <v>74</v>
      </c>
      <c r="BQ143" t="s">
        <v>74</v>
      </c>
      <c r="BR143" t="s">
        <v>74</v>
      </c>
      <c r="BS143" t="s">
        <v>86</v>
      </c>
      <c r="BT143" t="s">
        <v>2088</v>
      </c>
      <c r="BU143" t="s">
        <v>3164</v>
      </c>
    </row>
    <row r="144" spans="1:73" ht="204" x14ac:dyDescent="0.2">
      <c r="A144" t="s">
        <v>72</v>
      </c>
      <c r="B144" t="s">
        <v>2089</v>
      </c>
      <c r="C144" t="s">
        <v>74</v>
      </c>
      <c r="D144" t="s">
        <v>74</v>
      </c>
      <c r="E144" t="s">
        <v>74</v>
      </c>
      <c r="F144" t="s">
        <v>2090</v>
      </c>
      <c r="G144" t="s">
        <v>74</v>
      </c>
      <c r="H144" t="s">
        <v>74</v>
      </c>
      <c r="I144" t="s">
        <v>2091</v>
      </c>
      <c r="J144" t="s">
        <v>2092</v>
      </c>
      <c r="K144" t="s">
        <v>74</v>
      </c>
      <c r="L144" t="s">
        <v>74</v>
      </c>
      <c r="M144" t="s">
        <v>1025</v>
      </c>
      <c r="N144" t="s">
        <v>78</v>
      </c>
      <c r="O144" t="s">
        <v>74</v>
      </c>
      <c r="P144" t="s">
        <v>74</v>
      </c>
      <c r="Q144" t="s">
        <v>74</v>
      </c>
      <c r="R144" t="s">
        <v>74</v>
      </c>
      <c r="S144" t="s">
        <v>74</v>
      </c>
      <c r="T144" t="s">
        <v>2093</v>
      </c>
      <c r="U144" t="s">
        <v>2094</v>
      </c>
      <c r="V144" t="b">
        <v>0</v>
      </c>
      <c r="W144" s="1" t="s">
        <v>2095</v>
      </c>
      <c r="X144" t="s">
        <v>2096</v>
      </c>
      <c r="Y144" t="s">
        <v>2097</v>
      </c>
      <c r="Z144" t="s">
        <v>2098</v>
      </c>
      <c r="AA144" t="s">
        <v>2099</v>
      </c>
      <c r="AB144" t="s">
        <v>2100</v>
      </c>
      <c r="AC144" t="s">
        <v>2101</v>
      </c>
      <c r="AD144" t="s">
        <v>74</v>
      </c>
      <c r="AE144" t="s">
        <v>74</v>
      </c>
      <c r="AF144" t="s">
        <v>74</v>
      </c>
      <c r="AG144" t="s">
        <v>74</v>
      </c>
      <c r="AH144">
        <v>40</v>
      </c>
      <c r="AI144">
        <v>4</v>
      </c>
      <c r="AJ144">
        <v>4</v>
      </c>
      <c r="AK144">
        <v>1</v>
      </c>
      <c r="AL144">
        <v>2</v>
      </c>
      <c r="AM144" t="s">
        <v>1033</v>
      </c>
      <c r="AN144" t="s">
        <v>1034</v>
      </c>
      <c r="AO144" t="s">
        <v>1035</v>
      </c>
      <c r="AP144" t="s">
        <v>2102</v>
      </c>
      <c r="AQ144" t="s">
        <v>74</v>
      </c>
      <c r="AR144" t="s">
        <v>74</v>
      </c>
      <c r="AS144" t="s">
        <v>2092</v>
      </c>
      <c r="AT144" t="s">
        <v>2103</v>
      </c>
      <c r="AU144" t="s">
        <v>279</v>
      </c>
      <c r="AV144">
        <v>2025</v>
      </c>
      <c r="AW144">
        <v>115</v>
      </c>
      <c r="AX144" t="s">
        <v>74</v>
      </c>
      <c r="AY144" t="s">
        <v>74</v>
      </c>
      <c r="AZ144" t="s">
        <v>74</v>
      </c>
      <c r="BA144" t="s">
        <v>74</v>
      </c>
      <c r="BB144" t="s">
        <v>74</v>
      </c>
      <c r="BC144" t="s">
        <v>74</v>
      </c>
      <c r="BD144" t="s">
        <v>74</v>
      </c>
      <c r="BE144">
        <v>105676</v>
      </c>
      <c r="BF144" t="s">
        <v>2104</v>
      </c>
      <c r="BG144" t="s">
        <v>3211</v>
      </c>
      <c r="BH144" t="s">
        <v>74</v>
      </c>
      <c r="BI144" t="s">
        <v>2105</v>
      </c>
      <c r="BJ144">
        <v>14</v>
      </c>
      <c r="BK144" t="s">
        <v>1185</v>
      </c>
      <c r="BL144" t="s">
        <v>1041</v>
      </c>
      <c r="BM144" t="s">
        <v>1187</v>
      </c>
      <c r="BN144" t="s">
        <v>2106</v>
      </c>
      <c r="BO144">
        <v>40179662</v>
      </c>
      <c r="BP144" t="s">
        <v>1466</v>
      </c>
      <c r="BQ144" t="s">
        <v>74</v>
      </c>
      <c r="BR144" t="s">
        <v>74</v>
      </c>
      <c r="BS144" t="s">
        <v>86</v>
      </c>
      <c r="BT144" t="s">
        <v>2107</v>
      </c>
      <c r="BU144" t="s">
        <v>3164</v>
      </c>
    </row>
    <row r="145" spans="1:73" ht="68" x14ac:dyDescent="0.2">
      <c r="A145" t="s">
        <v>72</v>
      </c>
      <c r="B145" t="s">
        <v>2108</v>
      </c>
      <c r="C145" t="s">
        <v>74</v>
      </c>
      <c r="D145" t="s">
        <v>74</v>
      </c>
      <c r="E145" t="s">
        <v>74</v>
      </c>
      <c r="F145" t="s">
        <v>2109</v>
      </c>
      <c r="G145" t="s">
        <v>74</v>
      </c>
      <c r="H145" t="s">
        <v>2110</v>
      </c>
      <c r="I145" t="s">
        <v>2111</v>
      </c>
      <c r="J145" t="s">
        <v>2112</v>
      </c>
      <c r="K145" t="s">
        <v>74</v>
      </c>
      <c r="L145" t="s">
        <v>74</v>
      </c>
      <c r="M145" t="s">
        <v>1025</v>
      </c>
      <c r="N145" t="s">
        <v>337</v>
      </c>
      <c r="O145" t="s">
        <v>2113</v>
      </c>
      <c r="P145" t="s">
        <v>2114</v>
      </c>
      <c r="Q145" t="s">
        <v>2115</v>
      </c>
      <c r="R145" t="s">
        <v>74</v>
      </c>
      <c r="S145" t="s">
        <v>74</v>
      </c>
      <c r="T145" t="s">
        <v>74</v>
      </c>
      <c r="U145" t="s">
        <v>74</v>
      </c>
      <c r="V145" t="b">
        <v>0</v>
      </c>
      <c r="W145" s="1" t="s">
        <v>2116</v>
      </c>
      <c r="X145" t="s">
        <v>2117</v>
      </c>
      <c r="Y145" t="s">
        <v>2118</v>
      </c>
      <c r="Z145" t="s">
        <v>2119</v>
      </c>
      <c r="AA145" t="s">
        <v>2120</v>
      </c>
      <c r="AB145" t="s">
        <v>2121</v>
      </c>
      <c r="AC145" t="s">
        <v>2122</v>
      </c>
      <c r="AD145" t="s">
        <v>74</v>
      </c>
      <c r="AE145" t="s">
        <v>74</v>
      </c>
      <c r="AF145" t="s">
        <v>74</v>
      </c>
      <c r="AG145" t="s">
        <v>74</v>
      </c>
      <c r="AH145">
        <v>8</v>
      </c>
      <c r="AI145">
        <v>35</v>
      </c>
      <c r="AJ145">
        <v>38</v>
      </c>
      <c r="AK145">
        <v>1</v>
      </c>
      <c r="AL145">
        <v>25</v>
      </c>
      <c r="AM145" t="s">
        <v>2123</v>
      </c>
      <c r="AN145" t="s">
        <v>2124</v>
      </c>
      <c r="AO145" t="s">
        <v>2125</v>
      </c>
      <c r="AP145" t="s">
        <v>2126</v>
      </c>
      <c r="AQ145" t="s">
        <v>74</v>
      </c>
      <c r="AR145" t="s">
        <v>74</v>
      </c>
      <c r="AS145" t="s">
        <v>2127</v>
      </c>
      <c r="AT145" t="s">
        <v>2128</v>
      </c>
      <c r="AU145" t="s">
        <v>425</v>
      </c>
      <c r="AV145">
        <v>2012</v>
      </c>
      <c r="AW145">
        <v>83</v>
      </c>
      <c r="AX145">
        <v>10</v>
      </c>
      <c r="AY145">
        <v>2</v>
      </c>
      <c r="AZ145" t="s">
        <v>74</v>
      </c>
      <c r="BA145" t="s">
        <v>74</v>
      </c>
      <c r="BB145" t="s">
        <v>74</v>
      </c>
      <c r="BC145" t="s">
        <v>74</v>
      </c>
      <c r="BD145" t="s">
        <v>74</v>
      </c>
      <c r="BE145" t="s">
        <v>2129</v>
      </c>
      <c r="BF145" t="s">
        <v>2130</v>
      </c>
      <c r="BG145" t="s">
        <v>3212</v>
      </c>
      <c r="BH145" t="s">
        <v>74</v>
      </c>
      <c r="BI145" t="s">
        <v>74</v>
      </c>
      <c r="BJ145">
        <v>3</v>
      </c>
      <c r="BK145" t="s">
        <v>2131</v>
      </c>
      <c r="BL145" t="s">
        <v>1186</v>
      </c>
      <c r="BM145" t="s">
        <v>2132</v>
      </c>
      <c r="BN145" t="s">
        <v>2133</v>
      </c>
      <c r="BO145">
        <v>23130794</v>
      </c>
      <c r="BP145" t="s">
        <v>74</v>
      </c>
      <c r="BQ145" t="s">
        <v>74</v>
      </c>
      <c r="BR145" t="s">
        <v>74</v>
      </c>
      <c r="BS145" t="s">
        <v>86</v>
      </c>
      <c r="BT145" t="s">
        <v>2134</v>
      </c>
      <c r="BU145" t="s">
        <v>3164</v>
      </c>
    </row>
    <row r="146" spans="1:73" ht="119" x14ac:dyDescent="0.2">
      <c r="A146" t="s">
        <v>72</v>
      </c>
      <c r="B146" t="s">
        <v>2135</v>
      </c>
      <c r="C146" t="s">
        <v>74</v>
      </c>
      <c r="D146" t="s">
        <v>74</v>
      </c>
      <c r="E146" t="s">
        <v>74</v>
      </c>
      <c r="F146" t="s">
        <v>2135</v>
      </c>
      <c r="G146" t="s">
        <v>74</v>
      </c>
      <c r="H146" t="s">
        <v>74</v>
      </c>
      <c r="I146" t="s">
        <v>2136</v>
      </c>
      <c r="J146" t="s">
        <v>336</v>
      </c>
      <c r="K146" t="s">
        <v>74</v>
      </c>
      <c r="L146" t="s">
        <v>74</v>
      </c>
      <c r="M146" t="s">
        <v>1025</v>
      </c>
      <c r="N146" t="s">
        <v>337</v>
      </c>
      <c r="O146" t="s">
        <v>2137</v>
      </c>
      <c r="P146" t="s">
        <v>2138</v>
      </c>
      <c r="Q146" t="s">
        <v>2139</v>
      </c>
      <c r="R146" t="s">
        <v>74</v>
      </c>
      <c r="S146" t="s">
        <v>74</v>
      </c>
      <c r="T146" t="s">
        <v>2140</v>
      </c>
      <c r="U146" t="s">
        <v>2141</v>
      </c>
      <c r="V146" t="b">
        <v>0</v>
      </c>
      <c r="W146" s="1" t="s">
        <v>2142</v>
      </c>
      <c r="X146" t="s">
        <v>2143</v>
      </c>
      <c r="Y146" t="s">
        <v>1860</v>
      </c>
      <c r="Z146" t="s">
        <v>2144</v>
      </c>
      <c r="AA146" t="s">
        <v>74</v>
      </c>
      <c r="AB146" t="s">
        <v>2145</v>
      </c>
      <c r="AC146" t="s">
        <v>2146</v>
      </c>
      <c r="AD146" t="s">
        <v>74</v>
      </c>
      <c r="AE146" t="s">
        <v>74</v>
      </c>
      <c r="AF146" t="s">
        <v>74</v>
      </c>
      <c r="AG146" t="s">
        <v>74</v>
      </c>
      <c r="AH146">
        <v>9</v>
      </c>
      <c r="AI146">
        <v>8</v>
      </c>
      <c r="AJ146">
        <v>9</v>
      </c>
      <c r="AK146">
        <v>1</v>
      </c>
      <c r="AL146">
        <v>21</v>
      </c>
      <c r="AM146" t="s">
        <v>1081</v>
      </c>
      <c r="AN146" t="s">
        <v>1034</v>
      </c>
      <c r="AO146" t="s">
        <v>1082</v>
      </c>
      <c r="AP146" t="s">
        <v>1360</v>
      </c>
      <c r="AQ146" t="s">
        <v>74</v>
      </c>
      <c r="AR146" t="s">
        <v>74</v>
      </c>
      <c r="AS146" t="s">
        <v>1362</v>
      </c>
      <c r="AT146" t="s">
        <v>1363</v>
      </c>
      <c r="AU146" t="s">
        <v>269</v>
      </c>
      <c r="AV146">
        <v>2003</v>
      </c>
      <c r="AW146">
        <v>313</v>
      </c>
      <c r="AX146" t="s">
        <v>74</v>
      </c>
      <c r="AY146" t="s">
        <v>74</v>
      </c>
      <c r="AZ146" t="s">
        <v>74</v>
      </c>
      <c r="BA146" t="s">
        <v>74</v>
      </c>
      <c r="BB146" t="s">
        <v>74</v>
      </c>
      <c r="BC146">
        <v>619</v>
      </c>
      <c r="BD146">
        <v>624</v>
      </c>
      <c r="BE146" t="s">
        <v>2147</v>
      </c>
      <c r="BF146" t="s">
        <v>2148</v>
      </c>
      <c r="BG146" t="s">
        <v>3213</v>
      </c>
      <c r="BH146" t="s">
        <v>74</v>
      </c>
      <c r="BI146" t="s">
        <v>74</v>
      </c>
      <c r="BJ146">
        <v>6</v>
      </c>
      <c r="BK146" t="s">
        <v>1368</v>
      </c>
      <c r="BL146" t="s">
        <v>1409</v>
      </c>
      <c r="BM146" t="s">
        <v>1369</v>
      </c>
      <c r="BN146" t="s">
        <v>2149</v>
      </c>
      <c r="BO146" t="s">
        <v>74</v>
      </c>
      <c r="BP146" t="s">
        <v>74</v>
      </c>
      <c r="BQ146" t="s">
        <v>74</v>
      </c>
      <c r="BR146" t="s">
        <v>74</v>
      </c>
      <c r="BS146" t="s">
        <v>86</v>
      </c>
      <c r="BT146" t="s">
        <v>2150</v>
      </c>
      <c r="BU146" t="s">
        <v>3164</v>
      </c>
    </row>
    <row r="147" spans="1:73" ht="34" x14ac:dyDescent="0.2">
      <c r="A147" t="s">
        <v>72</v>
      </c>
      <c r="B147" t="s">
        <v>2151</v>
      </c>
      <c r="C147" t="s">
        <v>74</v>
      </c>
      <c r="D147" t="s">
        <v>74</v>
      </c>
      <c r="E147" t="s">
        <v>74</v>
      </c>
      <c r="F147" t="s">
        <v>2151</v>
      </c>
      <c r="G147" t="s">
        <v>74</v>
      </c>
      <c r="H147" t="s">
        <v>74</v>
      </c>
      <c r="I147" t="s">
        <v>2152</v>
      </c>
      <c r="J147" t="s">
        <v>2153</v>
      </c>
      <c r="K147" t="s">
        <v>74</v>
      </c>
      <c r="L147" t="s">
        <v>74</v>
      </c>
      <c r="M147" t="s">
        <v>1025</v>
      </c>
      <c r="N147" t="s">
        <v>78</v>
      </c>
      <c r="O147" t="s">
        <v>74</v>
      </c>
      <c r="P147" t="s">
        <v>74</v>
      </c>
      <c r="Q147" t="s">
        <v>74</v>
      </c>
      <c r="R147" t="s">
        <v>74</v>
      </c>
      <c r="S147" t="s">
        <v>74</v>
      </c>
      <c r="T147" t="s">
        <v>74</v>
      </c>
      <c r="U147" t="s">
        <v>2154</v>
      </c>
      <c r="V147" t="b">
        <v>0</v>
      </c>
      <c r="W147" s="1" t="s">
        <v>2155</v>
      </c>
      <c r="X147" t="s">
        <v>2156</v>
      </c>
      <c r="Y147" t="s">
        <v>2157</v>
      </c>
      <c r="Z147" t="s">
        <v>2158</v>
      </c>
      <c r="AA147" t="s">
        <v>2159</v>
      </c>
      <c r="AB147" t="s">
        <v>2160</v>
      </c>
      <c r="AC147" t="s">
        <v>2161</v>
      </c>
      <c r="AD147" t="s">
        <v>74</v>
      </c>
      <c r="AE147" t="s">
        <v>74</v>
      </c>
      <c r="AF147" t="s">
        <v>74</v>
      </c>
      <c r="AG147" t="s">
        <v>74</v>
      </c>
      <c r="AH147">
        <v>12</v>
      </c>
      <c r="AI147">
        <v>19</v>
      </c>
      <c r="AJ147">
        <v>20</v>
      </c>
      <c r="AK147">
        <v>0</v>
      </c>
      <c r="AL147">
        <v>5</v>
      </c>
      <c r="AM147" t="s">
        <v>2162</v>
      </c>
      <c r="AN147" t="s">
        <v>1815</v>
      </c>
      <c r="AO147" t="s">
        <v>2163</v>
      </c>
      <c r="AP147" t="s">
        <v>2164</v>
      </c>
      <c r="AQ147" t="s">
        <v>74</v>
      </c>
      <c r="AR147" t="s">
        <v>74</v>
      </c>
      <c r="AS147" t="s">
        <v>2165</v>
      </c>
      <c r="AT147" t="s">
        <v>2166</v>
      </c>
      <c r="AU147" t="s">
        <v>2167</v>
      </c>
      <c r="AV147">
        <v>2006</v>
      </c>
      <c r="AW147" t="s">
        <v>74</v>
      </c>
      <c r="AX147">
        <v>5</v>
      </c>
      <c r="AY147" t="s">
        <v>74</v>
      </c>
      <c r="AZ147" t="s">
        <v>74</v>
      </c>
      <c r="BA147" t="s">
        <v>74</v>
      </c>
      <c r="BB147" t="s">
        <v>74</v>
      </c>
      <c r="BC147">
        <v>523</v>
      </c>
      <c r="BD147">
        <v>525</v>
      </c>
      <c r="BE147" t="s">
        <v>74</v>
      </c>
      <c r="BF147" t="s">
        <v>2168</v>
      </c>
      <c r="BG147" t="s">
        <v>3214</v>
      </c>
      <c r="BH147" t="s">
        <v>74</v>
      </c>
      <c r="BI147" t="s">
        <v>74</v>
      </c>
      <c r="BJ147">
        <v>3</v>
      </c>
      <c r="BK147" t="s">
        <v>2169</v>
      </c>
      <c r="BL147" t="s">
        <v>1041</v>
      </c>
      <c r="BM147" t="s">
        <v>2170</v>
      </c>
      <c r="BN147" t="s">
        <v>2171</v>
      </c>
      <c r="BO147">
        <v>16432570</v>
      </c>
      <c r="BP147" t="s">
        <v>74</v>
      </c>
      <c r="BQ147" t="s">
        <v>74</v>
      </c>
      <c r="BR147" t="s">
        <v>74</v>
      </c>
      <c r="BS147" t="s">
        <v>86</v>
      </c>
      <c r="BT147" t="s">
        <v>2172</v>
      </c>
      <c r="BU147" t="s">
        <v>3164</v>
      </c>
    </row>
    <row r="148" spans="1:73" ht="119" x14ac:dyDescent="0.2">
      <c r="A148" t="s">
        <v>72</v>
      </c>
      <c r="B148" t="s">
        <v>2173</v>
      </c>
      <c r="C148" t="s">
        <v>74</v>
      </c>
      <c r="D148" t="s">
        <v>74</v>
      </c>
      <c r="E148" t="s">
        <v>74</v>
      </c>
      <c r="F148" t="s">
        <v>2174</v>
      </c>
      <c r="G148" t="s">
        <v>74</v>
      </c>
      <c r="H148" t="s">
        <v>74</v>
      </c>
      <c r="I148" t="s">
        <v>2175</v>
      </c>
      <c r="J148" t="s">
        <v>2176</v>
      </c>
      <c r="K148" t="s">
        <v>74</v>
      </c>
      <c r="L148" t="s">
        <v>74</v>
      </c>
      <c r="M148" t="s">
        <v>1025</v>
      </c>
      <c r="N148" t="s">
        <v>78</v>
      </c>
      <c r="O148" t="s">
        <v>74</v>
      </c>
      <c r="P148" t="s">
        <v>74</v>
      </c>
      <c r="Q148" t="s">
        <v>74</v>
      </c>
      <c r="R148" t="s">
        <v>74</v>
      </c>
      <c r="S148" t="s">
        <v>74</v>
      </c>
      <c r="T148" t="s">
        <v>2177</v>
      </c>
      <c r="U148" t="s">
        <v>2178</v>
      </c>
      <c r="V148" t="b">
        <v>0</v>
      </c>
      <c r="W148" s="1" t="s">
        <v>2179</v>
      </c>
      <c r="X148" t="s">
        <v>2180</v>
      </c>
      <c r="Y148" t="s">
        <v>2181</v>
      </c>
      <c r="Z148" t="s">
        <v>2182</v>
      </c>
      <c r="AA148" t="s">
        <v>2183</v>
      </c>
      <c r="AB148" t="s">
        <v>2184</v>
      </c>
      <c r="AC148" t="s">
        <v>2185</v>
      </c>
      <c r="AD148" t="s">
        <v>2186</v>
      </c>
      <c r="AE148" t="s">
        <v>2187</v>
      </c>
      <c r="AF148" t="s">
        <v>2188</v>
      </c>
      <c r="AG148" t="s">
        <v>74</v>
      </c>
      <c r="AH148">
        <v>24</v>
      </c>
      <c r="AI148">
        <v>3</v>
      </c>
      <c r="AJ148">
        <v>3</v>
      </c>
      <c r="AK148">
        <v>14</v>
      </c>
      <c r="AL148">
        <v>23</v>
      </c>
      <c r="AM148" t="s">
        <v>1778</v>
      </c>
      <c r="AN148" t="s">
        <v>1779</v>
      </c>
      <c r="AO148" t="s">
        <v>1780</v>
      </c>
      <c r="AP148" t="s">
        <v>74</v>
      </c>
      <c r="AQ148" t="s">
        <v>2189</v>
      </c>
      <c r="AR148" t="s">
        <v>74</v>
      </c>
      <c r="AS148" t="s">
        <v>2190</v>
      </c>
      <c r="AT148" t="s">
        <v>2191</v>
      </c>
      <c r="AU148" t="s">
        <v>2192</v>
      </c>
      <c r="AV148">
        <v>2025</v>
      </c>
      <c r="AW148">
        <v>15</v>
      </c>
      <c r="AX148">
        <v>8</v>
      </c>
      <c r="AY148" t="s">
        <v>74</v>
      </c>
      <c r="AZ148" t="s">
        <v>74</v>
      </c>
      <c r="BA148" t="s">
        <v>74</v>
      </c>
      <c r="BB148" t="s">
        <v>74</v>
      </c>
      <c r="BC148" t="s">
        <v>74</v>
      </c>
      <c r="BD148" t="s">
        <v>74</v>
      </c>
      <c r="BE148">
        <v>777</v>
      </c>
      <c r="BF148" t="s">
        <v>2193</v>
      </c>
      <c r="BG148" t="s">
        <v>3215</v>
      </c>
      <c r="BH148" t="s">
        <v>74</v>
      </c>
      <c r="BI148" t="s">
        <v>74</v>
      </c>
      <c r="BJ148">
        <v>17</v>
      </c>
      <c r="BK148" t="s">
        <v>2194</v>
      </c>
      <c r="BL148" t="s">
        <v>1041</v>
      </c>
      <c r="BM148" t="s">
        <v>2194</v>
      </c>
      <c r="BN148" t="s">
        <v>2195</v>
      </c>
      <c r="BO148" t="s">
        <v>74</v>
      </c>
      <c r="BP148" t="s">
        <v>2014</v>
      </c>
      <c r="BQ148" t="s">
        <v>74</v>
      </c>
      <c r="BR148" t="s">
        <v>74</v>
      </c>
      <c r="BS148" t="s">
        <v>86</v>
      </c>
      <c r="BT148" t="s">
        <v>2196</v>
      </c>
      <c r="BU148" t="s">
        <v>3164</v>
      </c>
    </row>
    <row r="149" spans="1:73" ht="102" x14ac:dyDescent="0.2">
      <c r="A149" t="s">
        <v>72</v>
      </c>
      <c r="B149" t="s">
        <v>334</v>
      </c>
      <c r="C149" t="s">
        <v>74</v>
      </c>
      <c r="D149" t="s">
        <v>74</v>
      </c>
      <c r="E149" t="s">
        <v>74</v>
      </c>
      <c r="F149" t="s">
        <v>334</v>
      </c>
      <c r="G149" t="s">
        <v>74</v>
      </c>
      <c r="H149" t="s">
        <v>74</v>
      </c>
      <c r="I149" t="s">
        <v>335</v>
      </c>
      <c r="J149" t="s">
        <v>336</v>
      </c>
      <c r="K149" t="s">
        <v>74</v>
      </c>
      <c r="L149" t="s">
        <v>74</v>
      </c>
      <c r="M149" t="s">
        <v>1025</v>
      </c>
      <c r="N149" t="s">
        <v>337</v>
      </c>
      <c r="O149" t="s">
        <v>338</v>
      </c>
      <c r="P149" t="s">
        <v>339</v>
      </c>
      <c r="Q149" t="s">
        <v>340</v>
      </c>
      <c r="R149" t="s">
        <v>2197</v>
      </c>
      <c r="S149" t="s">
        <v>74</v>
      </c>
      <c r="T149" t="s">
        <v>74</v>
      </c>
      <c r="U149" t="s">
        <v>2198</v>
      </c>
      <c r="V149" t="b">
        <v>0</v>
      </c>
      <c r="W149" s="1" t="s">
        <v>341</v>
      </c>
      <c r="X149" t="s">
        <v>342</v>
      </c>
      <c r="Y149" t="s">
        <v>1860</v>
      </c>
      <c r="Z149" t="s">
        <v>343</v>
      </c>
      <c r="AA149" t="s">
        <v>74</v>
      </c>
      <c r="AB149" t="s">
        <v>1444</v>
      </c>
      <c r="AC149" t="s">
        <v>2199</v>
      </c>
      <c r="AD149" t="s">
        <v>74</v>
      </c>
      <c r="AE149" t="s">
        <v>74</v>
      </c>
      <c r="AF149" t="s">
        <v>74</v>
      </c>
      <c r="AG149" t="s">
        <v>74</v>
      </c>
      <c r="AH149">
        <v>22</v>
      </c>
      <c r="AI149">
        <v>18</v>
      </c>
      <c r="AJ149">
        <v>20</v>
      </c>
      <c r="AK149">
        <v>0</v>
      </c>
      <c r="AL149">
        <v>7</v>
      </c>
      <c r="AM149" t="s">
        <v>1081</v>
      </c>
      <c r="AN149" t="s">
        <v>1034</v>
      </c>
      <c r="AO149" t="s">
        <v>1082</v>
      </c>
      <c r="AP149" t="s">
        <v>1360</v>
      </c>
      <c r="AQ149" t="s">
        <v>74</v>
      </c>
      <c r="AR149" t="s">
        <v>74</v>
      </c>
      <c r="AS149" t="s">
        <v>1362</v>
      </c>
      <c r="AT149" t="s">
        <v>1363</v>
      </c>
      <c r="AU149" t="s">
        <v>179</v>
      </c>
      <c r="AV149">
        <v>2002</v>
      </c>
      <c r="AW149">
        <v>307</v>
      </c>
      <c r="AX149" t="s">
        <v>74</v>
      </c>
      <c r="AY149" t="s">
        <v>201</v>
      </c>
      <c r="AZ149" t="s">
        <v>74</v>
      </c>
      <c r="BA149" t="s">
        <v>74</v>
      </c>
      <c r="BB149" t="s">
        <v>74</v>
      </c>
      <c r="BC149">
        <v>1664</v>
      </c>
      <c r="BD149">
        <v>1669</v>
      </c>
      <c r="BE149" t="s">
        <v>344</v>
      </c>
      <c r="BF149" t="s">
        <v>74</v>
      </c>
      <c r="BG149" t="s">
        <v>74</v>
      </c>
      <c r="BH149" t="s">
        <v>74</v>
      </c>
      <c r="BI149" t="s">
        <v>74</v>
      </c>
      <c r="BJ149">
        <v>6</v>
      </c>
      <c r="BK149" t="s">
        <v>1368</v>
      </c>
      <c r="BL149" t="s">
        <v>1409</v>
      </c>
      <c r="BM149" t="s">
        <v>1369</v>
      </c>
      <c r="BN149" t="s">
        <v>2200</v>
      </c>
      <c r="BO149" t="s">
        <v>74</v>
      </c>
      <c r="BP149" t="s">
        <v>74</v>
      </c>
      <c r="BQ149" t="s">
        <v>74</v>
      </c>
      <c r="BR149" t="s">
        <v>74</v>
      </c>
      <c r="BS149" t="s">
        <v>86</v>
      </c>
      <c r="BT149" t="s">
        <v>345</v>
      </c>
      <c r="BU149" t="s">
        <v>3164</v>
      </c>
    </row>
    <row r="150" spans="1:73" ht="102" x14ac:dyDescent="0.2">
      <c r="A150" t="s">
        <v>72</v>
      </c>
      <c r="B150" t="s">
        <v>2201</v>
      </c>
      <c r="C150" t="s">
        <v>74</v>
      </c>
      <c r="D150" t="s">
        <v>74</v>
      </c>
      <c r="E150" t="s">
        <v>74</v>
      </c>
      <c r="F150" t="s">
        <v>2202</v>
      </c>
      <c r="G150" t="s">
        <v>74</v>
      </c>
      <c r="H150" t="s">
        <v>74</v>
      </c>
      <c r="I150" t="s">
        <v>2203</v>
      </c>
      <c r="J150" t="s">
        <v>2204</v>
      </c>
      <c r="K150" t="s">
        <v>74</v>
      </c>
      <c r="L150" t="s">
        <v>74</v>
      </c>
      <c r="M150" t="s">
        <v>1025</v>
      </c>
      <c r="N150" t="s">
        <v>78</v>
      </c>
      <c r="O150" t="s">
        <v>74</v>
      </c>
      <c r="P150" t="s">
        <v>74</v>
      </c>
      <c r="Q150" t="s">
        <v>74</v>
      </c>
      <c r="R150" t="s">
        <v>74</v>
      </c>
      <c r="S150" t="s">
        <v>74</v>
      </c>
      <c r="T150" t="s">
        <v>2205</v>
      </c>
      <c r="U150" t="s">
        <v>2206</v>
      </c>
      <c r="V150" t="b">
        <v>0</v>
      </c>
      <c r="W150" s="1" t="s">
        <v>2207</v>
      </c>
      <c r="X150" t="s">
        <v>2208</v>
      </c>
      <c r="Y150" t="s">
        <v>2209</v>
      </c>
      <c r="Z150" t="s">
        <v>2210</v>
      </c>
      <c r="AA150" t="s">
        <v>2211</v>
      </c>
      <c r="AB150" t="s">
        <v>2212</v>
      </c>
      <c r="AC150" t="s">
        <v>2213</v>
      </c>
      <c r="AD150" t="s">
        <v>2214</v>
      </c>
      <c r="AE150" t="s">
        <v>2215</v>
      </c>
      <c r="AF150" t="s">
        <v>2216</v>
      </c>
      <c r="AG150" t="s">
        <v>74</v>
      </c>
      <c r="AH150">
        <v>31</v>
      </c>
      <c r="AI150">
        <v>138</v>
      </c>
      <c r="AJ150">
        <v>163</v>
      </c>
      <c r="AK150">
        <v>11</v>
      </c>
      <c r="AL150">
        <v>337</v>
      </c>
      <c r="AM150" t="s">
        <v>2217</v>
      </c>
      <c r="AN150" t="s">
        <v>2218</v>
      </c>
      <c r="AO150" t="s">
        <v>2219</v>
      </c>
      <c r="AP150" t="s">
        <v>2220</v>
      </c>
      <c r="AQ150" t="s">
        <v>74</v>
      </c>
      <c r="AR150" t="s">
        <v>74</v>
      </c>
      <c r="AS150" t="s">
        <v>2221</v>
      </c>
      <c r="AT150" t="s">
        <v>2222</v>
      </c>
      <c r="AU150" t="s">
        <v>108</v>
      </c>
      <c r="AV150">
        <v>2020</v>
      </c>
      <c r="AW150">
        <v>4</v>
      </c>
      <c r="AX150">
        <v>1</v>
      </c>
      <c r="AY150" t="s">
        <v>74</v>
      </c>
      <c r="AZ150" t="s">
        <v>74</v>
      </c>
      <c r="BA150" t="s">
        <v>74</v>
      </c>
      <c r="BB150" t="s">
        <v>74</v>
      </c>
      <c r="BC150" t="s">
        <v>74</v>
      </c>
      <c r="BD150" t="s">
        <v>74</v>
      </c>
      <c r="BE150">
        <v>1900088</v>
      </c>
      <c r="BF150" t="s">
        <v>2223</v>
      </c>
      <c r="BG150" t="s">
        <v>3216</v>
      </c>
      <c r="BH150" t="s">
        <v>74</v>
      </c>
      <c r="BI150" t="s">
        <v>2224</v>
      </c>
      <c r="BJ150">
        <v>6</v>
      </c>
      <c r="BK150" t="s">
        <v>2225</v>
      </c>
      <c r="BL150" t="s">
        <v>1041</v>
      </c>
      <c r="BM150" t="s">
        <v>2226</v>
      </c>
      <c r="BN150" t="s">
        <v>2227</v>
      </c>
      <c r="BO150" t="s">
        <v>74</v>
      </c>
      <c r="BP150" t="s">
        <v>1208</v>
      </c>
      <c r="BQ150" t="s">
        <v>74</v>
      </c>
      <c r="BR150" t="s">
        <v>74</v>
      </c>
      <c r="BS150" t="s">
        <v>86</v>
      </c>
      <c r="BT150" t="s">
        <v>2228</v>
      </c>
      <c r="BU150" t="s">
        <v>3164</v>
      </c>
    </row>
    <row r="151" spans="1:73" ht="136" x14ac:dyDescent="0.2">
      <c r="A151" t="s">
        <v>72</v>
      </c>
      <c r="B151" t="s">
        <v>2229</v>
      </c>
      <c r="C151" t="s">
        <v>74</v>
      </c>
      <c r="D151" t="s">
        <v>74</v>
      </c>
      <c r="E151" t="s">
        <v>74</v>
      </c>
      <c r="F151" t="s">
        <v>2230</v>
      </c>
      <c r="G151" t="s">
        <v>74</v>
      </c>
      <c r="H151" t="s">
        <v>74</v>
      </c>
      <c r="I151" t="s">
        <v>2231</v>
      </c>
      <c r="J151" t="s">
        <v>2232</v>
      </c>
      <c r="K151" t="s">
        <v>74</v>
      </c>
      <c r="L151" t="s">
        <v>74</v>
      </c>
      <c r="M151" t="s">
        <v>1025</v>
      </c>
      <c r="N151" t="s">
        <v>452</v>
      </c>
      <c r="O151" t="s">
        <v>74</v>
      </c>
      <c r="P151" t="s">
        <v>74</v>
      </c>
      <c r="Q151" t="s">
        <v>74</v>
      </c>
      <c r="R151" t="s">
        <v>74</v>
      </c>
      <c r="S151" t="s">
        <v>74</v>
      </c>
      <c r="T151" t="s">
        <v>2233</v>
      </c>
      <c r="U151" t="s">
        <v>2234</v>
      </c>
      <c r="V151" t="b">
        <v>0</v>
      </c>
      <c r="W151" s="1" t="s">
        <v>2235</v>
      </c>
      <c r="X151" t="s">
        <v>2236</v>
      </c>
      <c r="Y151" t="s">
        <v>2237</v>
      </c>
      <c r="Z151" t="s">
        <v>2238</v>
      </c>
      <c r="AA151" t="s">
        <v>2239</v>
      </c>
      <c r="AB151" t="s">
        <v>2240</v>
      </c>
      <c r="AC151" t="s">
        <v>2241</v>
      </c>
      <c r="AD151" t="s">
        <v>74</v>
      </c>
      <c r="AE151" t="s">
        <v>74</v>
      </c>
      <c r="AF151" t="s">
        <v>74</v>
      </c>
      <c r="AG151" t="s">
        <v>74</v>
      </c>
      <c r="AH151">
        <v>118</v>
      </c>
      <c r="AI151">
        <v>92</v>
      </c>
      <c r="AJ151">
        <v>100</v>
      </c>
      <c r="AK151">
        <v>17</v>
      </c>
      <c r="AL151">
        <v>85</v>
      </c>
      <c r="AM151" t="s">
        <v>1033</v>
      </c>
      <c r="AN151" t="s">
        <v>1034</v>
      </c>
      <c r="AO151" t="s">
        <v>1035</v>
      </c>
      <c r="AP151" t="s">
        <v>2242</v>
      </c>
      <c r="AQ151" t="s">
        <v>74</v>
      </c>
      <c r="AR151" t="s">
        <v>74</v>
      </c>
      <c r="AS151" t="s">
        <v>2243</v>
      </c>
      <c r="AT151" t="s">
        <v>2244</v>
      </c>
      <c r="AU151" t="s">
        <v>190</v>
      </c>
      <c r="AV151">
        <v>2024</v>
      </c>
      <c r="AW151">
        <v>20</v>
      </c>
      <c r="AX151" t="s">
        <v>74</v>
      </c>
      <c r="AY151" t="s">
        <v>74</v>
      </c>
      <c r="AZ151" t="s">
        <v>74</v>
      </c>
      <c r="BA151" t="s">
        <v>74</v>
      </c>
      <c r="BB151" t="s">
        <v>74</v>
      </c>
      <c r="BC151" t="s">
        <v>74</v>
      </c>
      <c r="BD151" t="s">
        <v>74</v>
      </c>
      <c r="BE151">
        <v>100749</v>
      </c>
      <c r="BF151" t="s">
        <v>2245</v>
      </c>
      <c r="BG151" t="s">
        <v>3217</v>
      </c>
      <c r="BH151" t="s">
        <v>74</v>
      </c>
      <c r="BI151" t="s">
        <v>2246</v>
      </c>
      <c r="BJ151">
        <v>15</v>
      </c>
      <c r="BK151" t="s">
        <v>1529</v>
      </c>
      <c r="BL151" t="s">
        <v>1822</v>
      </c>
      <c r="BM151" t="s">
        <v>1530</v>
      </c>
      <c r="BN151" t="s">
        <v>2247</v>
      </c>
      <c r="BO151" t="s">
        <v>74</v>
      </c>
      <c r="BP151" t="s">
        <v>1466</v>
      </c>
      <c r="BQ151" t="s">
        <v>74</v>
      </c>
      <c r="BR151" t="s">
        <v>74</v>
      </c>
      <c r="BS151" t="s">
        <v>86</v>
      </c>
      <c r="BT151" t="s">
        <v>2248</v>
      </c>
      <c r="BU151" t="s">
        <v>3164</v>
      </c>
    </row>
    <row r="152" spans="1:73" ht="119" x14ac:dyDescent="0.2">
      <c r="A152" t="s">
        <v>72</v>
      </c>
      <c r="B152" t="s">
        <v>2249</v>
      </c>
      <c r="C152" t="s">
        <v>74</v>
      </c>
      <c r="D152" t="s">
        <v>74</v>
      </c>
      <c r="E152" t="s">
        <v>74</v>
      </c>
      <c r="F152" t="s">
        <v>2249</v>
      </c>
      <c r="G152" t="s">
        <v>74</v>
      </c>
      <c r="H152" t="s">
        <v>74</v>
      </c>
      <c r="I152" t="s">
        <v>2250</v>
      </c>
      <c r="J152" t="s">
        <v>2251</v>
      </c>
      <c r="K152" t="s">
        <v>74</v>
      </c>
      <c r="L152" t="s">
        <v>74</v>
      </c>
      <c r="M152" t="s">
        <v>1025</v>
      </c>
      <c r="N152" t="s">
        <v>1095</v>
      </c>
      <c r="O152" t="s">
        <v>74</v>
      </c>
      <c r="P152" t="s">
        <v>74</v>
      </c>
      <c r="Q152" t="s">
        <v>74</v>
      </c>
      <c r="R152" t="s">
        <v>74</v>
      </c>
      <c r="S152" t="s">
        <v>74</v>
      </c>
      <c r="T152" t="s">
        <v>74</v>
      </c>
      <c r="U152" t="s">
        <v>74</v>
      </c>
      <c r="V152" t="b">
        <v>0</v>
      </c>
      <c r="W152" s="1" t="s">
        <v>2252</v>
      </c>
      <c r="X152" t="s">
        <v>2253</v>
      </c>
      <c r="Y152" t="s">
        <v>2254</v>
      </c>
      <c r="Z152" t="s">
        <v>74</v>
      </c>
      <c r="AA152" t="s">
        <v>74</v>
      </c>
      <c r="AB152" t="s">
        <v>74</v>
      </c>
      <c r="AC152" t="s">
        <v>74</v>
      </c>
      <c r="AD152" t="s">
        <v>74</v>
      </c>
      <c r="AE152" t="s">
        <v>74</v>
      </c>
      <c r="AF152" t="s">
        <v>74</v>
      </c>
      <c r="AG152" t="s">
        <v>74</v>
      </c>
      <c r="AH152">
        <v>7</v>
      </c>
      <c r="AI152">
        <v>5</v>
      </c>
      <c r="AJ152">
        <v>5</v>
      </c>
      <c r="AK152">
        <v>0</v>
      </c>
      <c r="AL152">
        <v>1</v>
      </c>
      <c r="AM152" t="s">
        <v>1198</v>
      </c>
      <c r="AN152" t="s">
        <v>1199</v>
      </c>
      <c r="AO152" t="s">
        <v>1200</v>
      </c>
      <c r="AP152" t="s">
        <v>2255</v>
      </c>
      <c r="AQ152" t="s">
        <v>2256</v>
      </c>
      <c r="AR152" t="s">
        <v>74</v>
      </c>
      <c r="AS152" t="s">
        <v>2257</v>
      </c>
      <c r="AT152" t="s">
        <v>2258</v>
      </c>
      <c r="AU152" t="s">
        <v>74</v>
      </c>
      <c r="AV152">
        <v>1986</v>
      </c>
      <c r="AW152">
        <v>36</v>
      </c>
      <c r="AX152">
        <v>6</v>
      </c>
      <c r="AY152" t="s">
        <v>74</v>
      </c>
      <c r="AZ152" t="s">
        <v>74</v>
      </c>
      <c r="BA152" t="s">
        <v>74</v>
      </c>
      <c r="BB152" t="s">
        <v>74</v>
      </c>
      <c r="BC152">
        <v>1193</v>
      </c>
      <c r="BD152">
        <v>1195</v>
      </c>
      <c r="BE152" t="s">
        <v>74</v>
      </c>
      <c r="BF152" t="s">
        <v>2259</v>
      </c>
      <c r="BG152" t="s">
        <v>3218</v>
      </c>
      <c r="BH152" t="s">
        <v>74</v>
      </c>
      <c r="BI152" t="s">
        <v>74</v>
      </c>
      <c r="BJ152">
        <v>3</v>
      </c>
      <c r="BK152" t="s">
        <v>2260</v>
      </c>
      <c r="BL152" t="s">
        <v>1549</v>
      </c>
      <c r="BM152" t="s">
        <v>2261</v>
      </c>
      <c r="BN152" t="s">
        <v>2262</v>
      </c>
      <c r="BO152">
        <v>3014579</v>
      </c>
      <c r="BP152" t="s">
        <v>74</v>
      </c>
      <c r="BQ152" t="s">
        <v>74</v>
      </c>
      <c r="BR152" t="s">
        <v>74</v>
      </c>
      <c r="BS152" t="s">
        <v>86</v>
      </c>
      <c r="BT152" t="s">
        <v>2263</v>
      </c>
      <c r="BU152" t="s">
        <v>3164</v>
      </c>
    </row>
    <row r="153" spans="1:73" ht="85" x14ac:dyDescent="0.2">
      <c r="A153" t="s">
        <v>72</v>
      </c>
      <c r="B153" t="s">
        <v>2264</v>
      </c>
      <c r="C153" t="s">
        <v>74</v>
      </c>
      <c r="D153" t="s">
        <v>74</v>
      </c>
      <c r="E153" t="s">
        <v>74</v>
      </c>
      <c r="F153" t="s">
        <v>2265</v>
      </c>
      <c r="G153" t="s">
        <v>74</v>
      </c>
      <c r="H153" t="s">
        <v>74</v>
      </c>
      <c r="I153" t="s">
        <v>2266</v>
      </c>
      <c r="J153" t="s">
        <v>2267</v>
      </c>
      <c r="K153" t="s">
        <v>74</v>
      </c>
      <c r="L153" t="s">
        <v>74</v>
      </c>
      <c r="M153" t="s">
        <v>1025</v>
      </c>
      <c r="N153" t="s">
        <v>78</v>
      </c>
      <c r="O153" t="s">
        <v>74</v>
      </c>
      <c r="P153" t="s">
        <v>74</v>
      </c>
      <c r="Q153" t="s">
        <v>74</v>
      </c>
      <c r="R153" t="s">
        <v>74</v>
      </c>
      <c r="S153" t="s">
        <v>74</v>
      </c>
      <c r="T153" t="s">
        <v>2268</v>
      </c>
      <c r="U153" t="s">
        <v>2269</v>
      </c>
      <c r="V153" t="b">
        <v>0</v>
      </c>
      <c r="W153" s="1" t="s">
        <v>2270</v>
      </c>
      <c r="X153" t="s">
        <v>2271</v>
      </c>
      <c r="Y153" t="s">
        <v>2272</v>
      </c>
      <c r="Z153" t="s">
        <v>2273</v>
      </c>
      <c r="AA153" t="s">
        <v>2274</v>
      </c>
      <c r="AB153" t="s">
        <v>2275</v>
      </c>
      <c r="AC153" t="s">
        <v>74</v>
      </c>
      <c r="AD153" t="s">
        <v>2276</v>
      </c>
      <c r="AE153" t="s">
        <v>2277</v>
      </c>
      <c r="AF153" t="s">
        <v>2278</v>
      </c>
      <c r="AG153" t="s">
        <v>74</v>
      </c>
      <c r="AH153">
        <v>16</v>
      </c>
      <c r="AI153">
        <v>2</v>
      </c>
      <c r="AJ153">
        <v>6</v>
      </c>
      <c r="AK153">
        <v>1</v>
      </c>
      <c r="AL153">
        <v>46</v>
      </c>
      <c r="AM153" t="s">
        <v>2279</v>
      </c>
      <c r="AN153" t="s">
        <v>1698</v>
      </c>
      <c r="AO153" t="s">
        <v>2280</v>
      </c>
      <c r="AP153" t="s">
        <v>2281</v>
      </c>
      <c r="AQ153" t="s">
        <v>2282</v>
      </c>
      <c r="AR153" t="s">
        <v>74</v>
      </c>
      <c r="AS153" t="s">
        <v>2283</v>
      </c>
      <c r="AT153" t="s">
        <v>2284</v>
      </c>
      <c r="AU153" t="s">
        <v>155</v>
      </c>
      <c r="AV153">
        <v>2016</v>
      </c>
      <c r="AW153">
        <v>70</v>
      </c>
      <c r="AX153" t="s">
        <v>74</v>
      </c>
      <c r="AY153" t="s">
        <v>74</v>
      </c>
      <c r="AZ153" t="s">
        <v>74</v>
      </c>
      <c r="BA153" t="s">
        <v>74</v>
      </c>
      <c r="BB153" t="s">
        <v>74</v>
      </c>
      <c r="BC153">
        <v>43</v>
      </c>
      <c r="BD153">
        <v>46</v>
      </c>
      <c r="BE153" t="s">
        <v>74</v>
      </c>
      <c r="BF153" t="s">
        <v>2285</v>
      </c>
      <c r="BG153" t="s">
        <v>3219</v>
      </c>
      <c r="BH153" t="s">
        <v>74</v>
      </c>
      <c r="BI153" t="s">
        <v>74</v>
      </c>
      <c r="BJ153">
        <v>4</v>
      </c>
      <c r="BK153" t="s">
        <v>2286</v>
      </c>
      <c r="BL153" t="s">
        <v>1041</v>
      </c>
      <c r="BM153" t="s">
        <v>2286</v>
      </c>
      <c r="BN153" t="s">
        <v>2287</v>
      </c>
      <c r="BO153" t="s">
        <v>74</v>
      </c>
      <c r="BP153" t="s">
        <v>74</v>
      </c>
      <c r="BQ153" t="s">
        <v>74</v>
      </c>
      <c r="BR153" t="s">
        <v>74</v>
      </c>
      <c r="BS153" t="s">
        <v>86</v>
      </c>
      <c r="BT153" t="s">
        <v>2288</v>
      </c>
      <c r="BU153" t="s">
        <v>3164</v>
      </c>
    </row>
    <row r="154" spans="1:73" ht="68" x14ac:dyDescent="0.2">
      <c r="A154" t="s">
        <v>72</v>
      </c>
      <c r="B154" t="s">
        <v>2289</v>
      </c>
      <c r="C154" t="s">
        <v>74</v>
      </c>
      <c r="D154" t="s">
        <v>74</v>
      </c>
      <c r="E154" t="s">
        <v>74</v>
      </c>
      <c r="F154" t="s">
        <v>2289</v>
      </c>
      <c r="G154" t="s">
        <v>74</v>
      </c>
      <c r="H154" t="s">
        <v>74</v>
      </c>
      <c r="I154" t="s">
        <v>2290</v>
      </c>
      <c r="J154" t="s">
        <v>2291</v>
      </c>
      <c r="K154" t="s">
        <v>74</v>
      </c>
      <c r="L154" t="s">
        <v>74</v>
      </c>
      <c r="M154" t="s">
        <v>1025</v>
      </c>
      <c r="N154" t="s">
        <v>78</v>
      </c>
      <c r="O154" t="s">
        <v>74</v>
      </c>
      <c r="P154" t="s">
        <v>74</v>
      </c>
      <c r="Q154" t="s">
        <v>74</v>
      </c>
      <c r="R154" t="s">
        <v>74</v>
      </c>
      <c r="S154" t="s">
        <v>74</v>
      </c>
      <c r="T154" t="s">
        <v>74</v>
      </c>
      <c r="U154" t="s">
        <v>2292</v>
      </c>
      <c r="V154" t="b">
        <v>0</v>
      </c>
      <c r="W154" s="1" t="s">
        <v>2293</v>
      </c>
      <c r="X154" t="s">
        <v>2294</v>
      </c>
      <c r="Y154" t="s">
        <v>2295</v>
      </c>
      <c r="Z154" t="s">
        <v>2296</v>
      </c>
      <c r="AA154" t="s">
        <v>74</v>
      </c>
      <c r="AB154" t="s">
        <v>74</v>
      </c>
      <c r="AC154" t="s">
        <v>74</v>
      </c>
      <c r="AD154" t="s">
        <v>74</v>
      </c>
      <c r="AE154" t="s">
        <v>74</v>
      </c>
      <c r="AF154" t="s">
        <v>74</v>
      </c>
      <c r="AG154" t="s">
        <v>74</v>
      </c>
      <c r="AH154">
        <v>15</v>
      </c>
      <c r="AI154">
        <v>24</v>
      </c>
      <c r="AJ154">
        <v>30</v>
      </c>
      <c r="AK154">
        <v>0</v>
      </c>
      <c r="AL154">
        <v>10</v>
      </c>
      <c r="AM154" t="s">
        <v>2297</v>
      </c>
      <c r="AN154" t="s">
        <v>1177</v>
      </c>
      <c r="AO154" t="s">
        <v>2298</v>
      </c>
      <c r="AP154" t="s">
        <v>2299</v>
      </c>
      <c r="AQ154" t="s">
        <v>74</v>
      </c>
      <c r="AR154" t="s">
        <v>74</v>
      </c>
      <c r="AS154" t="s">
        <v>2300</v>
      </c>
      <c r="AT154" t="s">
        <v>2301</v>
      </c>
      <c r="AU154" t="s">
        <v>372</v>
      </c>
      <c r="AV154">
        <v>1992</v>
      </c>
      <c r="AW154">
        <v>22</v>
      </c>
      <c r="AX154">
        <v>8</v>
      </c>
      <c r="AY154" t="s">
        <v>74</v>
      </c>
      <c r="AZ154" t="s">
        <v>74</v>
      </c>
      <c r="BA154" t="s">
        <v>74</v>
      </c>
      <c r="BB154" t="s">
        <v>74</v>
      </c>
      <c r="BC154">
        <v>728</v>
      </c>
      <c r="BD154">
        <v>732</v>
      </c>
      <c r="BE154" t="s">
        <v>74</v>
      </c>
      <c r="BF154" t="s">
        <v>2302</v>
      </c>
      <c r="BG154" t="s">
        <v>3220</v>
      </c>
      <c r="BH154" t="s">
        <v>74</v>
      </c>
      <c r="BI154" t="s">
        <v>74</v>
      </c>
      <c r="BJ154">
        <v>5</v>
      </c>
      <c r="BK154" t="s">
        <v>2286</v>
      </c>
      <c r="BL154" t="s">
        <v>1041</v>
      </c>
      <c r="BM154" t="s">
        <v>2286</v>
      </c>
      <c r="BN154" t="s">
        <v>2303</v>
      </c>
      <c r="BO154" t="s">
        <v>74</v>
      </c>
      <c r="BP154" t="s">
        <v>74</v>
      </c>
      <c r="BQ154" t="s">
        <v>74</v>
      </c>
      <c r="BR154" t="s">
        <v>74</v>
      </c>
      <c r="BS154" t="s">
        <v>86</v>
      </c>
      <c r="BT154" t="s">
        <v>2304</v>
      </c>
      <c r="BU154" t="s">
        <v>3164</v>
      </c>
    </row>
    <row r="155" spans="1:73" ht="136" x14ac:dyDescent="0.2">
      <c r="A155" t="s">
        <v>72</v>
      </c>
      <c r="B155" t="s">
        <v>147</v>
      </c>
      <c r="C155" t="s">
        <v>74</v>
      </c>
      <c r="D155" t="s">
        <v>74</v>
      </c>
      <c r="E155" t="s">
        <v>74</v>
      </c>
      <c r="F155" t="s">
        <v>148</v>
      </c>
      <c r="G155" t="s">
        <v>74</v>
      </c>
      <c r="H155" t="s">
        <v>74</v>
      </c>
      <c r="I155" t="s">
        <v>149</v>
      </c>
      <c r="J155" t="s">
        <v>150</v>
      </c>
      <c r="K155" t="s">
        <v>74</v>
      </c>
      <c r="L155" t="s">
        <v>74</v>
      </c>
      <c r="M155" t="s">
        <v>1025</v>
      </c>
      <c r="N155" t="s">
        <v>78</v>
      </c>
      <c r="O155" t="s">
        <v>74</v>
      </c>
      <c r="P155" t="s">
        <v>74</v>
      </c>
      <c r="Q155" t="s">
        <v>74</v>
      </c>
      <c r="R155" t="s">
        <v>74</v>
      </c>
      <c r="S155" t="s">
        <v>74</v>
      </c>
      <c r="T155" t="s">
        <v>2305</v>
      </c>
      <c r="U155" t="s">
        <v>2306</v>
      </c>
      <c r="V155" t="b">
        <v>0</v>
      </c>
      <c r="W155" s="1" t="s">
        <v>151</v>
      </c>
      <c r="X155" t="s">
        <v>152</v>
      </c>
      <c r="Y155" t="s">
        <v>2307</v>
      </c>
      <c r="Z155" t="s">
        <v>153</v>
      </c>
      <c r="AA155" t="s">
        <v>154</v>
      </c>
      <c r="AB155" t="s">
        <v>74</v>
      </c>
      <c r="AC155" t="s">
        <v>2308</v>
      </c>
      <c r="AD155" t="s">
        <v>74</v>
      </c>
      <c r="AE155" t="s">
        <v>74</v>
      </c>
      <c r="AF155" t="s">
        <v>74</v>
      </c>
      <c r="AG155" t="s">
        <v>74</v>
      </c>
      <c r="AH155">
        <v>104</v>
      </c>
      <c r="AI155">
        <v>1</v>
      </c>
      <c r="AJ155">
        <v>3</v>
      </c>
      <c r="AK155">
        <v>10</v>
      </c>
      <c r="AL155">
        <v>16</v>
      </c>
      <c r="AM155" t="s">
        <v>1033</v>
      </c>
      <c r="AN155" t="s">
        <v>1034</v>
      </c>
      <c r="AO155" t="s">
        <v>1035</v>
      </c>
      <c r="AP155" t="s">
        <v>2309</v>
      </c>
      <c r="AQ155" t="s">
        <v>74</v>
      </c>
      <c r="AR155" t="s">
        <v>74</v>
      </c>
      <c r="AS155" t="s">
        <v>2310</v>
      </c>
      <c r="AT155" t="s">
        <v>2311</v>
      </c>
      <c r="AU155" t="s">
        <v>155</v>
      </c>
      <c r="AV155">
        <v>2025</v>
      </c>
      <c r="AW155">
        <v>27</v>
      </c>
      <c r="AX155" t="s">
        <v>74</v>
      </c>
      <c r="AY155" t="s">
        <v>74</v>
      </c>
      <c r="AZ155" t="s">
        <v>74</v>
      </c>
      <c r="BA155" t="s">
        <v>74</v>
      </c>
      <c r="BB155" t="s">
        <v>74</v>
      </c>
      <c r="BC155" t="s">
        <v>74</v>
      </c>
      <c r="BD155" t="s">
        <v>74</v>
      </c>
      <c r="BE155">
        <v>200266</v>
      </c>
      <c r="BF155" t="s">
        <v>156</v>
      </c>
      <c r="BG155" t="s">
        <v>3221</v>
      </c>
      <c r="BH155" t="s">
        <v>74</v>
      </c>
      <c r="BI155" t="s">
        <v>157</v>
      </c>
      <c r="BJ155">
        <v>12</v>
      </c>
      <c r="BK155" t="s">
        <v>1685</v>
      </c>
      <c r="BL155" t="s">
        <v>1822</v>
      </c>
      <c r="BM155" t="s">
        <v>1324</v>
      </c>
      <c r="BN155" t="s">
        <v>2312</v>
      </c>
      <c r="BO155" t="s">
        <v>74</v>
      </c>
      <c r="BP155" t="s">
        <v>1824</v>
      </c>
      <c r="BQ155" t="s">
        <v>74</v>
      </c>
      <c r="BR155" t="s">
        <v>74</v>
      </c>
      <c r="BS155" t="s">
        <v>86</v>
      </c>
      <c r="BT155" t="s">
        <v>158</v>
      </c>
      <c r="BU155" t="s">
        <v>3164</v>
      </c>
    </row>
    <row r="156" spans="1:73" ht="170" x14ac:dyDescent="0.2">
      <c r="A156" t="s">
        <v>72</v>
      </c>
      <c r="B156" t="s">
        <v>2313</v>
      </c>
      <c r="C156" t="s">
        <v>74</v>
      </c>
      <c r="D156" t="s">
        <v>74</v>
      </c>
      <c r="E156" t="s">
        <v>74</v>
      </c>
      <c r="F156" t="s">
        <v>2314</v>
      </c>
      <c r="G156" t="s">
        <v>74</v>
      </c>
      <c r="H156" t="s">
        <v>74</v>
      </c>
      <c r="I156" t="s">
        <v>2315</v>
      </c>
      <c r="J156" t="s">
        <v>1008</v>
      </c>
      <c r="K156" t="s">
        <v>74</v>
      </c>
      <c r="L156" t="s">
        <v>74</v>
      </c>
      <c r="M156" t="s">
        <v>1025</v>
      </c>
      <c r="N156" t="s">
        <v>78</v>
      </c>
      <c r="O156" t="s">
        <v>74</v>
      </c>
      <c r="P156" t="s">
        <v>74</v>
      </c>
      <c r="Q156" t="s">
        <v>74</v>
      </c>
      <c r="R156" t="s">
        <v>74</v>
      </c>
      <c r="S156" t="s">
        <v>74</v>
      </c>
      <c r="T156" t="s">
        <v>74</v>
      </c>
      <c r="U156" t="s">
        <v>2316</v>
      </c>
      <c r="V156" t="b">
        <v>0</v>
      </c>
      <c r="W156" s="1" t="s">
        <v>2317</v>
      </c>
      <c r="X156" t="s">
        <v>2318</v>
      </c>
      <c r="Y156" t="s">
        <v>2319</v>
      </c>
      <c r="Z156" t="s">
        <v>2320</v>
      </c>
      <c r="AA156" t="s">
        <v>2321</v>
      </c>
      <c r="AB156" t="s">
        <v>2322</v>
      </c>
      <c r="AC156" t="s">
        <v>2323</v>
      </c>
      <c r="AD156" t="s">
        <v>2324</v>
      </c>
      <c r="AE156" t="s">
        <v>2325</v>
      </c>
      <c r="AF156" t="s">
        <v>2326</v>
      </c>
      <c r="AG156" t="s">
        <v>74</v>
      </c>
      <c r="AH156">
        <v>39</v>
      </c>
      <c r="AI156">
        <v>89</v>
      </c>
      <c r="AJ156">
        <v>109</v>
      </c>
      <c r="AK156">
        <v>41</v>
      </c>
      <c r="AL156">
        <v>264</v>
      </c>
      <c r="AM156" t="s">
        <v>2162</v>
      </c>
      <c r="AN156" t="s">
        <v>1815</v>
      </c>
      <c r="AO156" t="s">
        <v>2163</v>
      </c>
      <c r="AP156" t="s">
        <v>2327</v>
      </c>
      <c r="AQ156" t="s">
        <v>2328</v>
      </c>
      <c r="AR156" t="s">
        <v>74</v>
      </c>
      <c r="AS156" t="s">
        <v>2329</v>
      </c>
      <c r="AT156" t="s">
        <v>2330</v>
      </c>
      <c r="AU156" t="s">
        <v>2331</v>
      </c>
      <c r="AV156">
        <v>2024</v>
      </c>
      <c r="AW156">
        <v>17</v>
      </c>
      <c r="AX156">
        <v>3</v>
      </c>
      <c r="AY156" t="s">
        <v>74</v>
      </c>
      <c r="AZ156" t="s">
        <v>74</v>
      </c>
      <c r="BA156" t="s">
        <v>74</v>
      </c>
      <c r="BB156" t="s">
        <v>74</v>
      </c>
      <c r="BC156">
        <v>1163</v>
      </c>
      <c r="BD156">
        <v>1174</v>
      </c>
      <c r="BE156" t="s">
        <v>74</v>
      </c>
      <c r="BF156" t="s">
        <v>2332</v>
      </c>
      <c r="BG156" t="s">
        <v>3222</v>
      </c>
      <c r="BH156" t="s">
        <v>74</v>
      </c>
      <c r="BI156" t="s">
        <v>2333</v>
      </c>
      <c r="BJ156">
        <v>12</v>
      </c>
      <c r="BK156" t="s">
        <v>2334</v>
      </c>
      <c r="BL156" t="s">
        <v>1041</v>
      </c>
      <c r="BM156" t="s">
        <v>2335</v>
      </c>
      <c r="BN156" t="s">
        <v>2336</v>
      </c>
      <c r="BO156" t="s">
        <v>74</v>
      </c>
      <c r="BP156" t="s">
        <v>1989</v>
      </c>
      <c r="BQ156" t="s">
        <v>74</v>
      </c>
      <c r="BR156" t="s">
        <v>74</v>
      </c>
      <c r="BS156" t="s">
        <v>86</v>
      </c>
      <c r="BT156" t="s">
        <v>2337</v>
      </c>
      <c r="BU156" t="s">
        <v>3164</v>
      </c>
    </row>
    <row r="157" spans="1:73" ht="187" x14ac:dyDescent="0.2">
      <c r="A157" t="s">
        <v>72</v>
      </c>
      <c r="B157" t="s">
        <v>2338</v>
      </c>
      <c r="C157" t="s">
        <v>74</v>
      </c>
      <c r="D157" t="s">
        <v>74</v>
      </c>
      <c r="E157" t="s">
        <v>74</v>
      </c>
      <c r="F157" t="s">
        <v>2338</v>
      </c>
      <c r="G157" t="s">
        <v>74</v>
      </c>
      <c r="H157" t="s">
        <v>74</v>
      </c>
      <c r="I157" t="s">
        <v>2339</v>
      </c>
      <c r="J157" t="s">
        <v>2340</v>
      </c>
      <c r="K157" t="s">
        <v>74</v>
      </c>
      <c r="L157" t="s">
        <v>74</v>
      </c>
      <c r="M157" t="s">
        <v>1025</v>
      </c>
      <c r="N157" t="s">
        <v>337</v>
      </c>
      <c r="O157" t="s">
        <v>2341</v>
      </c>
      <c r="P157" t="s">
        <v>2342</v>
      </c>
      <c r="Q157" t="s">
        <v>2343</v>
      </c>
      <c r="R157" t="s">
        <v>2344</v>
      </c>
      <c r="S157" t="s">
        <v>74</v>
      </c>
      <c r="T157" t="s">
        <v>74</v>
      </c>
      <c r="U157" t="s">
        <v>2345</v>
      </c>
      <c r="V157" t="b">
        <v>0</v>
      </c>
      <c r="W157" s="1" t="s">
        <v>2346</v>
      </c>
      <c r="X157" t="s">
        <v>2347</v>
      </c>
      <c r="Y157" t="s">
        <v>1860</v>
      </c>
      <c r="Z157" t="s">
        <v>2348</v>
      </c>
      <c r="AA157" t="s">
        <v>74</v>
      </c>
      <c r="AB157" t="s">
        <v>1444</v>
      </c>
      <c r="AC157" t="s">
        <v>2199</v>
      </c>
      <c r="AD157" t="s">
        <v>74</v>
      </c>
      <c r="AE157" t="s">
        <v>74</v>
      </c>
      <c r="AF157" t="s">
        <v>74</v>
      </c>
      <c r="AG157" t="s">
        <v>74</v>
      </c>
      <c r="AH157">
        <v>44</v>
      </c>
      <c r="AI157">
        <v>125</v>
      </c>
      <c r="AJ157">
        <v>138</v>
      </c>
      <c r="AK157">
        <v>2</v>
      </c>
      <c r="AL157">
        <v>25</v>
      </c>
      <c r="AM157" t="s">
        <v>1588</v>
      </c>
      <c r="AN157" t="s">
        <v>1589</v>
      </c>
      <c r="AO157" t="s">
        <v>2349</v>
      </c>
      <c r="AP157" t="s">
        <v>2350</v>
      </c>
      <c r="AQ157" t="s">
        <v>74</v>
      </c>
      <c r="AR157" t="s">
        <v>74</v>
      </c>
      <c r="AS157" t="s">
        <v>2351</v>
      </c>
      <c r="AT157" t="s">
        <v>2352</v>
      </c>
      <c r="AU157" t="s">
        <v>190</v>
      </c>
      <c r="AV157">
        <v>2002</v>
      </c>
      <c r="AW157">
        <v>44</v>
      </c>
      <c r="AX157">
        <v>6</v>
      </c>
      <c r="AY157" t="s">
        <v>74</v>
      </c>
      <c r="AZ157" t="s">
        <v>74</v>
      </c>
      <c r="BA157" t="s">
        <v>74</v>
      </c>
      <c r="BB157" t="s">
        <v>74</v>
      </c>
      <c r="BC157">
        <v>955</v>
      </c>
      <c r="BD157">
        <v>977</v>
      </c>
      <c r="BE157" t="s">
        <v>2353</v>
      </c>
      <c r="BF157" t="s">
        <v>2354</v>
      </c>
      <c r="BG157" t="s">
        <v>3223</v>
      </c>
      <c r="BH157" t="s">
        <v>74</v>
      </c>
      <c r="BI157" t="s">
        <v>74</v>
      </c>
      <c r="BJ157">
        <v>23</v>
      </c>
      <c r="BK157" t="s">
        <v>1704</v>
      </c>
      <c r="BL157" t="s">
        <v>1409</v>
      </c>
      <c r="BM157" t="s">
        <v>1705</v>
      </c>
      <c r="BN157" t="s">
        <v>2355</v>
      </c>
      <c r="BO157" t="s">
        <v>74</v>
      </c>
      <c r="BP157" t="s">
        <v>74</v>
      </c>
      <c r="BQ157" t="s">
        <v>74</v>
      </c>
      <c r="BR157" t="s">
        <v>74</v>
      </c>
      <c r="BS157" t="s">
        <v>86</v>
      </c>
      <c r="BT157" t="s">
        <v>2356</v>
      </c>
      <c r="BU157" t="s">
        <v>3164</v>
      </c>
    </row>
    <row r="158" spans="1:73" ht="153" x14ac:dyDescent="0.2">
      <c r="A158" t="s">
        <v>72</v>
      </c>
      <c r="B158" t="s">
        <v>2357</v>
      </c>
      <c r="C158" t="s">
        <v>74</v>
      </c>
      <c r="D158" t="s">
        <v>74</v>
      </c>
      <c r="E158" t="s">
        <v>74</v>
      </c>
      <c r="F158" t="s">
        <v>2358</v>
      </c>
      <c r="G158" t="s">
        <v>74</v>
      </c>
      <c r="H158" t="s">
        <v>74</v>
      </c>
      <c r="I158" t="s">
        <v>2359</v>
      </c>
      <c r="J158" t="s">
        <v>2360</v>
      </c>
      <c r="K158" t="s">
        <v>74</v>
      </c>
      <c r="L158" t="s">
        <v>74</v>
      </c>
      <c r="M158" t="s">
        <v>1025</v>
      </c>
      <c r="N158" t="s">
        <v>78</v>
      </c>
      <c r="O158" t="s">
        <v>74</v>
      </c>
      <c r="P158" t="s">
        <v>74</v>
      </c>
      <c r="Q158" t="s">
        <v>74</v>
      </c>
      <c r="R158" t="s">
        <v>74</v>
      </c>
      <c r="S158" t="s">
        <v>74</v>
      </c>
      <c r="T158" t="s">
        <v>2361</v>
      </c>
      <c r="U158" t="s">
        <v>2362</v>
      </c>
      <c r="V158" t="s">
        <v>3265</v>
      </c>
      <c r="W158" s="1" t="s">
        <v>2363</v>
      </c>
      <c r="X158" t="s">
        <v>2364</v>
      </c>
      <c r="Y158" t="s">
        <v>2365</v>
      </c>
      <c r="Z158" t="s">
        <v>2366</v>
      </c>
      <c r="AA158" t="s">
        <v>2367</v>
      </c>
      <c r="AB158" t="s">
        <v>2368</v>
      </c>
      <c r="AC158" t="s">
        <v>2369</v>
      </c>
      <c r="AD158" t="s">
        <v>74</v>
      </c>
      <c r="AE158" t="s">
        <v>74</v>
      </c>
      <c r="AF158" t="s">
        <v>74</v>
      </c>
      <c r="AG158" t="s">
        <v>74</v>
      </c>
      <c r="AH158">
        <v>202</v>
      </c>
      <c r="AI158">
        <v>14</v>
      </c>
      <c r="AJ158">
        <v>15</v>
      </c>
      <c r="AK158">
        <v>24</v>
      </c>
      <c r="AL158">
        <v>42</v>
      </c>
      <c r="AM158" t="s">
        <v>2370</v>
      </c>
      <c r="AN158" t="s">
        <v>1177</v>
      </c>
      <c r="AO158" t="s">
        <v>2371</v>
      </c>
      <c r="AP158" t="s">
        <v>2372</v>
      </c>
      <c r="AQ158" t="s">
        <v>2373</v>
      </c>
      <c r="AR158" t="s">
        <v>74</v>
      </c>
      <c r="AS158" t="s">
        <v>2374</v>
      </c>
      <c r="AT158" t="s">
        <v>2375</v>
      </c>
      <c r="AU158" t="s">
        <v>155</v>
      </c>
      <c r="AV158">
        <v>2025</v>
      </c>
      <c r="AW158">
        <v>391</v>
      </c>
      <c r="AX158" t="s">
        <v>74</v>
      </c>
      <c r="AY158" t="s">
        <v>74</v>
      </c>
      <c r="AZ158" t="s">
        <v>74</v>
      </c>
      <c r="BA158" t="s">
        <v>74</v>
      </c>
      <c r="BB158" t="s">
        <v>74</v>
      </c>
      <c r="BC158" t="s">
        <v>74</v>
      </c>
      <c r="BD158" t="s">
        <v>74</v>
      </c>
      <c r="BE158">
        <v>126512</v>
      </c>
      <c r="BF158" t="s">
        <v>2376</v>
      </c>
      <c r="BG158" t="s">
        <v>3224</v>
      </c>
      <c r="BH158" t="s">
        <v>74</v>
      </c>
      <c r="BI158" t="s">
        <v>134</v>
      </c>
      <c r="BJ158">
        <v>26</v>
      </c>
      <c r="BK158" t="s">
        <v>1685</v>
      </c>
      <c r="BL158" t="s">
        <v>1041</v>
      </c>
      <c r="BM158" t="s">
        <v>1324</v>
      </c>
      <c r="BN158" t="s">
        <v>2377</v>
      </c>
      <c r="BO158">
        <v>40663899</v>
      </c>
      <c r="BP158" t="s">
        <v>2378</v>
      </c>
      <c r="BQ158" t="s">
        <v>74</v>
      </c>
      <c r="BR158" t="s">
        <v>74</v>
      </c>
      <c r="BS158" t="s">
        <v>86</v>
      </c>
      <c r="BT158" t="s">
        <v>2379</v>
      </c>
      <c r="BU158" t="s">
        <v>3164</v>
      </c>
    </row>
    <row r="159" spans="1:73" ht="238" x14ac:dyDescent="0.2">
      <c r="A159" t="s">
        <v>72</v>
      </c>
      <c r="B159" t="s">
        <v>2380</v>
      </c>
      <c r="C159" t="s">
        <v>74</v>
      </c>
      <c r="D159" t="s">
        <v>74</v>
      </c>
      <c r="E159" t="s">
        <v>74</v>
      </c>
      <c r="F159" t="s">
        <v>2381</v>
      </c>
      <c r="G159" t="s">
        <v>74</v>
      </c>
      <c r="H159" t="s">
        <v>74</v>
      </c>
      <c r="I159" t="s">
        <v>2382</v>
      </c>
      <c r="J159" t="s">
        <v>704</v>
      </c>
      <c r="K159" t="s">
        <v>74</v>
      </c>
      <c r="L159" t="s">
        <v>74</v>
      </c>
      <c r="M159" t="s">
        <v>1025</v>
      </c>
      <c r="N159" t="s">
        <v>78</v>
      </c>
      <c r="O159" t="s">
        <v>74</v>
      </c>
      <c r="P159" t="s">
        <v>74</v>
      </c>
      <c r="Q159" t="s">
        <v>74</v>
      </c>
      <c r="R159" t="s">
        <v>74</v>
      </c>
      <c r="S159" t="s">
        <v>74</v>
      </c>
      <c r="T159" t="s">
        <v>2383</v>
      </c>
      <c r="U159" t="s">
        <v>74</v>
      </c>
      <c r="V159" t="b">
        <v>0</v>
      </c>
      <c r="W159" s="1" t="s">
        <v>2384</v>
      </c>
      <c r="X159" t="s">
        <v>2385</v>
      </c>
      <c r="Y159" t="s">
        <v>2386</v>
      </c>
      <c r="Z159" t="s">
        <v>2387</v>
      </c>
      <c r="AA159" t="s">
        <v>2388</v>
      </c>
      <c r="AB159" t="s">
        <v>74</v>
      </c>
      <c r="AC159" t="s">
        <v>2389</v>
      </c>
      <c r="AD159" t="s">
        <v>2390</v>
      </c>
      <c r="AE159" t="s">
        <v>2391</v>
      </c>
      <c r="AF159" t="s">
        <v>2392</v>
      </c>
      <c r="AG159" t="s">
        <v>74</v>
      </c>
      <c r="AH159">
        <v>38</v>
      </c>
      <c r="AI159">
        <v>2</v>
      </c>
      <c r="AJ159">
        <v>3</v>
      </c>
      <c r="AK159">
        <v>12</v>
      </c>
      <c r="AL159">
        <v>23</v>
      </c>
      <c r="AM159" t="s">
        <v>1778</v>
      </c>
      <c r="AN159" t="s">
        <v>1779</v>
      </c>
      <c r="AO159" t="s">
        <v>1780</v>
      </c>
      <c r="AP159" t="s">
        <v>74</v>
      </c>
      <c r="AQ159" t="s">
        <v>2393</v>
      </c>
      <c r="AR159" t="s">
        <v>74</v>
      </c>
      <c r="AS159" t="s">
        <v>2394</v>
      </c>
      <c r="AT159" t="s">
        <v>2395</v>
      </c>
      <c r="AU159" t="s">
        <v>2396</v>
      </c>
      <c r="AV159">
        <v>2025</v>
      </c>
      <c r="AW159">
        <v>17</v>
      </c>
      <c r="AX159">
        <v>8</v>
      </c>
      <c r="AY159" t="s">
        <v>74</v>
      </c>
      <c r="AZ159" t="s">
        <v>74</v>
      </c>
      <c r="BA159" t="s">
        <v>74</v>
      </c>
      <c r="BB159" t="s">
        <v>74</v>
      </c>
      <c r="BC159" t="s">
        <v>74</v>
      </c>
      <c r="BD159" t="s">
        <v>74</v>
      </c>
      <c r="BE159">
        <v>3732</v>
      </c>
      <c r="BF159" t="s">
        <v>2397</v>
      </c>
      <c r="BG159" t="s">
        <v>3225</v>
      </c>
      <c r="BH159" t="s">
        <v>74</v>
      </c>
      <c r="BI159" t="s">
        <v>74</v>
      </c>
      <c r="BJ159">
        <v>20</v>
      </c>
      <c r="BK159" t="s">
        <v>2398</v>
      </c>
      <c r="BL159" t="s">
        <v>1549</v>
      </c>
      <c r="BM159" t="s">
        <v>2399</v>
      </c>
      <c r="BN159" t="s">
        <v>2400</v>
      </c>
      <c r="BO159" t="s">
        <v>74</v>
      </c>
      <c r="BP159" t="s">
        <v>2014</v>
      </c>
      <c r="BQ159" t="s">
        <v>74</v>
      </c>
      <c r="BR159" t="s">
        <v>74</v>
      </c>
      <c r="BS159" t="s">
        <v>86</v>
      </c>
      <c r="BT159" t="s">
        <v>2401</v>
      </c>
      <c r="BU159" t="s">
        <v>3164</v>
      </c>
    </row>
    <row r="160" spans="1:73" ht="136" x14ac:dyDescent="0.2">
      <c r="A160" t="s">
        <v>72</v>
      </c>
      <c r="B160" t="s">
        <v>2402</v>
      </c>
      <c r="C160" t="s">
        <v>74</v>
      </c>
      <c r="D160" t="s">
        <v>74</v>
      </c>
      <c r="E160" t="s">
        <v>74</v>
      </c>
      <c r="F160" t="s">
        <v>2402</v>
      </c>
      <c r="G160" t="s">
        <v>74</v>
      </c>
      <c r="H160" t="s">
        <v>74</v>
      </c>
      <c r="I160" t="s">
        <v>2403</v>
      </c>
      <c r="J160" t="s">
        <v>2404</v>
      </c>
      <c r="K160" t="s">
        <v>74</v>
      </c>
      <c r="L160" t="s">
        <v>74</v>
      </c>
      <c r="M160" t="s">
        <v>1025</v>
      </c>
      <c r="N160" t="s">
        <v>78</v>
      </c>
      <c r="O160" t="s">
        <v>74</v>
      </c>
      <c r="P160" t="s">
        <v>74</v>
      </c>
      <c r="Q160" t="s">
        <v>74</v>
      </c>
      <c r="R160" t="s">
        <v>74</v>
      </c>
      <c r="S160" t="s">
        <v>74</v>
      </c>
      <c r="T160" t="s">
        <v>2405</v>
      </c>
      <c r="U160" t="s">
        <v>2406</v>
      </c>
      <c r="V160" t="b">
        <v>0</v>
      </c>
      <c r="W160" s="1" t="s">
        <v>2407</v>
      </c>
      <c r="X160" t="s">
        <v>74</v>
      </c>
      <c r="Y160" t="s">
        <v>74</v>
      </c>
      <c r="Z160" t="s">
        <v>2408</v>
      </c>
      <c r="AA160" t="s">
        <v>74</v>
      </c>
      <c r="AB160" t="s">
        <v>74</v>
      </c>
      <c r="AC160" t="s">
        <v>2409</v>
      </c>
      <c r="AD160" t="s">
        <v>74</v>
      </c>
      <c r="AE160" t="s">
        <v>74</v>
      </c>
      <c r="AF160" t="s">
        <v>74</v>
      </c>
      <c r="AG160" t="s">
        <v>74</v>
      </c>
      <c r="AH160">
        <v>19</v>
      </c>
      <c r="AI160">
        <v>30</v>
      </c>
      <c r="AJ160">
        <v>33</v>
      </c>
      <c r="AK160">
        <v>0</v>
      </c>
      <c r="AL160">
        <v>6</v>
      </c>
      <c r="AM160" t="s">
        <v>2410</v>
      </c>
      <c r="AN160" t="s">
        <v>1698</v>
      </c>
      <c r="AO160" t="s">
        <v>2411</v>
      </c>
      <c r="AP160" t="s">
        <v>2412</v>
      </c>
      <c r="AQ160" t="s">
        <v>74</v>
      </c>
      <c r="AR160" t="s">
        <v>74</v>
      </c>
      <c r="AS160" t="s">
        <v>2413</v>
      </c>
      <c r="AT160" t="s">
        <v>2414</v>
      </c>
      <c r="AU160" t="s">
        <v>83</v>
      </c>
      <c r="AV160">
        <v>1993</v>
      </c>
      <c r="AW160">
        <v>238</v>
      </c>
      <c r="AX160" t="s">
        <v>2415</v>
      </c>
      <c r="AY160" t="s">
        <v>74</v>
      </c>
      <c r="AZ160" t="s">
        <v>74</v>
      </c>
      <c r="BA160" t="s">
        <v>74</v>
      </c>
      <c r="BB160" t="s">
        <v>74</v>
      </c>
      <c r="BC160">
        <v>26</v>
      </c>
      <c r="BD160">
        <v>32</v>
      </c>
      <c r="BE160" t="s">
        <v>74</v>
      </c>
      <c r="BF160" t="s">
        <v>2416</v>
      </c>
      <c r="BG160" t="s">
        <v>3226</v>
      </c>
      <c r="BH160" t="s">
        <v>74</v>
      </c>
      <c r="BI160" t="s">
        <v>74</v>
      </c>
      <c r="BJ160">
        <v>7</v>
      </c>
      <c r="BK160" t="s">
        <v>2417</v>
      </c>
      <c r="BL160" t="s">
        <v>1041</v>
      </c>
      <c r="BM160" t="s">
        <v>2417</v>
      </c>
      <c r="BN160" t="s">
        <v>2418</v>
      </c>
      <c r="BO160">
        <v>8479431</v>
      </c>
      <c r="BP160" t="s">
        <v>74</v>
      </c>
      <c r="BQ160" t="s">
        <v>74</v>
      </c>
      <c r="BR160" t="s">
        <v>74</v>
      </c>
      <c r="BS160" t="s">
        <v>86</v>
      </c>
      <c r="BT160" t="s">
        <v>2419</v>
      </c>
      <c r="BU160" t="s">
        <v>3164</v>
      </c>
    </row>
    <row r="161" spans="1:73" ht="102" x14ac:dyDescent="0.2">
      <c r="A161" t="s">
        <v>72</v>
      </c>
      <c r="B161" t="s">
        <v>2420</v>
      </c>
      <c r="C161" t="s">
        <v>74</v>
      </c>
      <c r="D161" t="s">
        <v>74</v>
      </c>
      <c r="E161" t="s">
        <v>74</v>
      </c>
      <c r="F161" t="s">
        <v>2421</v>
      </c>
      <c r="G161" t="s">
        <v>74</v>
      </c>
      <c r="H161" t="s">
        <v>74</v>
      </c>
      <c r="I161" t="s">
        <v>2422</v>
      </c>
      <c r="J161" t="s">
        <v>2423</v>
      </c>
      <c r="K161" t="s">
        <v>74</v>
      </c>
      <c r="L161" t="s">
        <v>74</v>
      </c>
      <c r="M161" t="s">
        <v>1025</v>
      </c>
      <c r="N161" t="s">
        <v>78</v>
      </c>
      <c r="O161" t="s">
        <v>74</v>
      </c>
      <c r="P161" t="s">
        <v>74</v>
      </c>
      <c r="Q161" t="s">
        <v>74</v>
      </c>
      <c r="R161" t="s">
        <v>74</v>
      </c>
      <c r="S161" t="s">
        <v>74</v>
      </c>
      <c r="T161" t="s">
        <v>74</v>
      </c>
      <c r="U161" t="s">
        <v>2424</v>
      </c>
      <c r="V161" t="b">
        <v>0</v>
      </c>
      <c r="W161" s="1" t="s">
        <v>2425</v>
      </c>
      <c r="X161" t="s">
        <v>2426</v>
      </c>
      <c r="Y161" t="s">
        <v>2427</v>
      </c>
      <c r="Z161" t="s">
        <v>2428</v>
      </c>
      <c r="AA161" t="s">
        <v>2429</v>
      </c>
      <c r="AB161" t="s">
        <v>2430</v>
      </c>
      <c r="AC161" t="s">
        <v>2431</v>
      </c>
      <c r="AD161" t="s">
        <v>2432</v>
      </c>
      <c r="AE161" t="s">
        <v>2433</v>
      </c>
      <c r="AF161" t="s">
        <v>2434</v>
      </c>
      <c r="AG161" t="s">
        <v>74</v>
      </c>
      <c r="AH161">
        <v>35</v>
      </c>
      <c r="AI161">
        <v>39</v>
      </c>
      <c r="AJ161">
        <v>44</v>
      </c>
      <c r="AK161">
        <v>0</v>
      </c>
      <c r="AL161">
        <v>6</v>
      </c>
      <c r="AM161" t="s">
        <v>2435</v>
      </c>
      <c r="AN161" t="s">
        <v>1297</v>
      </c>
      <c r="AO161" t="s">
        <v>2436</v>
      </c>
      <c r="AP161" t="s">
        <v>2437</v>
      </c>
      <c r="AQ161" t="s">
        <v>2438</v>
      </c>
      <c r="AR161" t="s">
        <v>74</v>
      </c>
      <c r="AS161" t="s">
        <v>2423</v>
      </c>
      <c r="AT161" t="s">
        <v>2439</v>
      </c>
      <c r="AU161" t="s">
        <v>2440</v>
      </c>
      <c r="AV161">
        <v>2021</v>
      </c>
      <c r="AW161">
        <v>371</v>
      </c>
      <c r="AX161">
        <v>6525</v>
      </c>
      <c r="AY161" t="s">
        <v>74</v>
      </c>
      <c r="AZ161" t="s">
        <v>74</v>
      </c>
      <c r="BA161" t="s">
        <v>74</v>
      </c>
      <c r="BB161" t="s">
        <v>74</v>
      </c>
      <c r="BC161">
        <v>168</v>
      </c>
      <c r="BD161" t="s">
        <v>1425</v>
      </c>
      <c r="BE161" t="s">
        <v>74</v>
      </c>
      <c r="BF161" t="s">
        <v>2441</v>
      </c>
      <c r="BG161" t="s">
        <v>3227</v>
      </c>
      <c r="BH161" t="s">
        <v>74</v>
      </c>
      <c r="BI161" t="s">
        <v>74</v>
      </c>
      <c r="BJ161">
        <v>5</v>
      </c>
      <c r="BK161" t="s">
        <v>1463</v>
      </c>
      <c r="BL161" t="s">
        <v>1041</v>
      </c>
      <c r="BM161" t="s">
        <v>1464</v>
      </c>
      <c r="BN161" t="s">
        <v>2442</v>
      </c>
      <c r="BO161">
        <v>33335019</v>
      </c>
      <c r="BP161" t="s">
        <v>1208</v>
      </c>
      <c r="BQ161" t="s">
        <v>74</v>
      </c>
      <c r="BR161" t="s">
        <v>74</v>
      </c>
      <c r="BS161" t="s">
        <v>86</v>
      </c>
      <c r="BT161" t="s">
        <v>2443</v>
      </c>
      <c r="BU161" t="s">
        <v>3164</v>
      </c>
    </row>
    <row r="162" spans="1:73" ht="136" x14ac:dyDescent="0.2">
      <c r="A162" t="s">
        <v>72</v>
      </c>
      <c r="B162" t="s">
        <v>2444</v>
      </c>
      <c r="C162" t="s">
        <v>74</v>
      </c>
      <c r="D162" t="s">
        <v>74</v>
      </c>
      <c r="E162" t="s">
        <v>74</v>
      </c>
      <c r="F162" t="s">
        <v>2445</v>
      </c>
      <c r="G162" t="s">
        <v>74</v>
      </c>
      <c r="H162" t="s">
        <v>74</v>
      </c>
      <c r="I162" t="s">
        <v>2446</v>
      </c>
      <c r="J162" t="s">
        <v>641</v>
      </c>
      <c r="K162" t="s">
        <v>74</v>
      </c>
      <c r="L162" t="s">
        <v>74</v>
      </c>
      <c r="M162" t="s">
        <v>1025</v>
      </c>
      <c r="N162" t="s">
        <v>337</v>
      </c>
      <c r="O162" t="s">
        <v>2447</v>
      </c>
      <c r="P162" t="s">
        <v>2448</v>
      </c>
      <c r="Q162" t="s">
        <v>2449</v>
      </c>
      <c r="R162" t="s">
        <v>2450</v>
      </c>
      <c r="S162" t="s">
        <v>74</v>
      </c>
      <c r="T162" t="s">
        <v>2451</v>
      </c>
      <c r="U162" t="s">
        <v>2452</v>
      </c>
      <c r="V162" t="b">
        <v>0</v>
      </c>
      <c r="W162" s="1" t="s">
        <v>2453</v>
      </c>
      <c r="X162" t="s">
        <v>2454</v>
      </c>
      <c r="Y162" t="s">
        <v>74</v>
      </c>
      <c r="Z162" t="s">
        <v>2455</v>
      </c>
      <c r="AA162" t="s">
        <v>2456</v>
      </c>
      <c r="AB162" t="s">
        <v>2457</v>
      </c>
      <c r="AC162" t="s">
        <v>2458</v>
      </c>
      <c r="AD162" t="s">
        <v>74</v>
      </c>
      <c r="AE162" t="s">
        <v>74</v>
      </c>
      <c r="AF162" t="s">
        <v>74</v>
      </c>
      <c r="AG162" t="s">
        <v>74</v>
      </c>
      <c r="AH162">
        <v>12</v>
      </c>
      <c r="AI162">
        <v>16</v>
      </c>
      <c r="AJ162">
        <v>20</v>
      </c>
      <c r="AK162">
        <v>0</v>
      </c>
      <c r="AL162">
        <v>13</v>
      </c>
      <c r="AM162" t="s">
        <v>1059</v>
      </c>
      <c r="AN162" t="s">
        <v>1060</v>
      </c>
      <c r="AO162" t="s">
        <v>1061</v>
      </c>
      <c r="AP162" t="s">
        <v>1062</v>
      </c>
      <c r="AQ162" t="s">
        <v>1478</v>
      </c>
      <c r="AR162" t="s">
        <v>74</v>
      </c>
      <c r="AS162" t="s">
        <v>1063</v>
      </c>
      <c r="AT162" t="s">
        <v>1064</v>
      </c>
      <c r="AU162" t="s">
        <v>425</v>
      </c>
      <c r="AV162">
        <v>2014</v>
      </c>
      <c r="AW162">
        <v>89</v>
      </c>
      <c r="AX162" t="s">
        <v>2459</v>
      </c>
      <c r="AY162" t="s">
        <v>74</v>
      </c>
      <c r="AZ162" t="s">
        <v>74</v>
      </c>
      <c r="BA162" t="s">
        <v>74</v>
      </c>
      <c r="BB162" t="s">
        <v>74</v>
      </c>
      <c r="BC162">
        <v>996</v>
      </c>
      <c r="BD162">
        <v>1002</v>
      </c>
      <c r="BE162" t="s">
        <v>74</v>
      </c>
      <c r="BF162" t="s">
        <v>2460</v>
      </c>
      <c r="BG162" t="s">
        <v>3228</v>
      </c>
      <c r="BH162" t="s">
        <v>74</v>
      </c>
      <c r="BI162" t="s">
        <v>74</v>
      </c>
      <c r="BJ162">
        <v>7</v>
      </c>
      <c r="BK162" t="s">
        <v>1066</v>
      </c>
      <c r="BL162" t="s">
        <v>1186</v>
      </c>
      <c r="BM162" t="s">
        <v>1066</v>
      </c>
      <c r="BN162" t="s">
        <v>2461</v>
      </c>
      <c r="BO162" t="s">
        <v>74</v>
      </c>
      <c r="BP162" t="s">
        <v>74</v>
      </c>
      <c r="BQ162" t="s">
        <v>74</v>
      </c>
      <c r="BR162" t="s">
        <v>74</v>
      </c>
      <c r="BS162" t="s">
        <v>86</v>
      </c>
      <c r="BT162" t="s">
        <v>2462</v>
      </c>
      <c r="BU162" t="s">
        <v>3164</v>
      </c>
    </row>
    <row r="163" spans="1:73" ht="102" x14ac:dyDescent="0.2">
      <c r="A163" t="s">
        <v>72</v>
      </c>
      <c r="B163" t="s">
        <v>2463</v>
      </c>
      <c r="C163" t="s">
        <v>74</v>
      </c>
      <c r="D163" t="s">
        <v>74</v>
      </c>
      <c r="E163" t="s">
        <v>74</v>
      </c>
      <c r="F163" t="s">
        <v>2463</v>
      </c>
      <c r="G163" t="s">
        <v>74</v>
      </c>
      <c r="H163" t="s">
        <v>74</v>
      </c>
      <c r="I163" t="s">
        <v>2464</v>
      </c>
      <c r="J163" t="s">
        <v>336</v>
      </c>
      <c r="K163" t="s">
        <v>74</v>
      </c>
      <c r="L163" t="s">
        <v>74</v>
      </c>
      <c r="M163" t="s">
        <v>1025</v>
      </c>
      <c r="N163" t="s">
        <v>337</v>
      </c>
      <c r="O163" t="s">
        <v>2465</v>
      </c>
      <c r="P163" t="s">
        <v>2466</v>
      </c>
      <c r="Q163" t="s">
        <v>2467</v>
      </c>
      <c r="R163" t="s">
        <v>2468</v>
      </c>
      <c r="S163" t="s">
        <v>74</v>
      </c>
      <c r="T163" t="s">
        <v>74</v>
      </c>
      <c r="U163" t="s">
        <v>74</v>
      </c>
      <c r="V163" t="b">
        <v>0</v>
      </c>
      <c r="W163" s="1" t="s">
        <v>2469</v>
      </c>
      <c r="X163" t="s">
        <v>2470</v>
      </c>
      <c r="Y163" t="s">
        <v>2471</v>
      </c>
      <c r="Z163" t="s">
        <v>2472</v>
      </c>
      <c r="AA163" t="s">
        <v>2473</v>
      </c>
      <c r="AB163" t="s">
        <v>74</v>
      </c>
      <c r="AC163" t="s">
        <v>74</v>
      </c>
      <c r="AD163" t="s">
        <v>74</v>
      </c>
      <c r="AE163" t="s">
        <v>74</v>
      </c>
      <c r="AF163" t="s">
        <v>74</v>
      </c>
      <c r="AG163" t="s">
        <v>74</v>
      </c>
      <c r="AH163">
        <v>23</v>
      </c>
      <c r="AI163">
        <v>10</v>
      </c>
      <c r="AJ163">
        <v>10</v>
      </c>
      <c r="AK163">
        <v>0</v>
      </c>
      <c r="AL163">
        <v>8</v>
      </c>
      <c r="AM163" t="s">
        <v>1033</v>
      </c>
      <c r="AN163" t="s">
        <v>1034</v>
      </c>
      <c r="AO163" t="s">
        <v>1035</v>
      </c>
      <c r="AP163" t="s">
        <v>1360</v>
      </c>
      <c r="AQ163" t="s">
        <v>1361</v>
      </c>
      <c r="AR163" t="s">
        <v>74</v>
      </c>
      <c r="AS163" t="s">
        <v>1362</v>
      </c>
      <c r="AT163" t="s">
        <v>1363</v>
      </c>
      <c r="AU163" t="s">
        <v>279</v>
      </c>
      <c r="AV163">
        <v>1999</v>
      </c>
      <c r="AW163">
        <v>271</v>
      </c>
      <c r="AX163" t="s">
        <v>74</v>
      </c>
      <c r="AY163" t="s">
        <v>74</v>
      </c>
      <c r="AZ163" t="s">
        <v>74</v>
      </c>
      <c r="BA163" t="s">
        <v>74</v>
      </c>
      <c r="BB163" t="s">
        <v>74</v>
      </c>
      <c r="BC163">
        <v>405</v>
      </c>
      <c r="BD163">
        <v>409</v>
      </c>
      <c r="BE163" t="s">
        <v>74</v>
      </c>
      <c r="BF163" t="s">
        <v>2474</v>
      </c>
      <c r="BG163" t="s">
        <v>3229</v>
      </c>
      <c r="BH163" t="s">
        <v>74</v>
      </c>
      <c r="BI163" t="s">
        <v>74</v>
      </c>
      <c r="BJ163">
        <v>5</v>
      </c>
      <c r="BK163" t="s">
        <v>1368</v>
      </c>
      <c r="BL163" t="s">
        <v>1186</v>
      </c>
      <c r="BM163" t="s">
        <v>1369</v>
      </c>
      <c r="BN163" t="s">
        <v>2475</v>
      </c>
      <c r="BO163" t="s">
        <v>74</v>
      </c>
      <c r="BP163" t="s">
        <v>74</v>
      </c>
      <c r="BQ163" t="s">
        <v>74</v>
      </c>
      <c r="BR163" t="s">
        <v>74</v>
      </c>
      <c r="BS163" t="s">
        <v>86</v>
      </c>
      <c r="BT163" t="s">
        <v>2476</v>
      </c>
      <c r="BU163" t="s">
        <v>3164</v>
      </c>
    </row>
    <row r="164" spans="1:73" ht="119" x14ac:dyDescent="0.2">
      <c r="A164" t="s">
        <v>72</v>
      </c>
      <c r="B164" t="s">
        <v>2477</v>
      </c>
      <c r="C164" t="s">
        <v>74</v>
      </c>
      <c r="D164" t="s">
        <v>74</v>
      </c>
      <c r="E164" t="s">
        <v>74</v>
      </c>
      <c r="F164" t="s">
        <v>2477</v>
      </c>
      <c r="G164" t="s">
        <v>74</v>
      </c>
      <c r="H164" t="s">
        <v>74</v>
      </c>
      <c r="I164" t="s">
        <v>2478</v>
      </c>
      <c r="J164" t="s">
        <v>1603</v>
      </c>
      <c r="K164" t="s">
        <v>74</v>
      </c>
      <c r="L164" t="s">
        <v>74</v>
      </c>
      <c r="M164" t="s">
        <v>1025</v>
      </c>
      <c r="N164" t="s">
        <v>78</v>
      </c>
      <c r="O164" t="s">
        <v>74</v>
      </c>
      <c r="P164" t="s">
        <v>74</v>
      </c>
      <c r="Q164" t="s">
        <v>74</v>
      </c>
      <c r="R164" t="s">
        <v>74</v>
      </c>
      <c r="S164" t="s">
        <v>74</v>
      </c>
      <c r="T164" t="s">
        <v>2479</v>
      </c>
      <c r="U164" t="s">
        <v>2480</v>
      </c>
      <c r="V164" t="b">
        <v>0</v>
      </c>
      <c r="W164" s="1" t="s">
        <v>2481</v>
      </c>
      <c r="X164" t="s">
        <v>2482</v>
      </c>
      <c r="Y164" t="s">
        <v>2483</v>
      </c>
      <c r="Z164" t="s">
        <v>74</v>
      </c>
      <c r="AA164" t="s">
        <v>74</v>
      </c>
      <c r="AB164" t="s">
        <v>74</v>
      </c>
      <c r="AC164" t="s">
        <v>74</v>
      </c>
      <c r="AD164" t="s">
        <v>2484</v>
      </c>
      <c r="AE164" t="s">
        <v>2485</v>
      </c>
      <c r="AF164" t="s">
        <v>74</v>
      </c>
      <c r="AG164" t="s">
        <v>74</v>
      </c>
      <c r="AH164">
        <v>43</v>
      </c>
      <c r="AI164">
        <v>373</v>
      </c>
      <c r="AJ164">
        <v>429</v>
      </c>
      <c r="AK164">
        <v>0</v>
      </c>
      <c r="AL164">
        <v>34</v>
      </c>
      <c r="AM164" t="s">
        <v>2486</v>
      </c>
      <c r="AN164" t="s">
        <v>2487</v>
      </c>
      <c r="AO164" t="s">
        <v>2488</v>
      </c>
      <c r="AP164" t="s">
        <v>1616</v>
      </c>
      <c r="AQ164" t="s">
        <v>74</v>
      </c>
      <c r="AR164" t="s">
        <v>74</v>
      </c>
      <c r="AS164" t="s">
        <v>1603</v>
      </c>
      <c r="AT164" t="s">
        <v>1618</v>
      </c>
      <c r="AU164" t="s">
        <v>83</v>
      </c>
      <c r="AV164">
        <v>1991</v>
      </c>
      <c r="AW164">
        <v>7</v>
      </c>
      <c r="AX164">
        <v>3</v>
      </c>
      <c r="AY164" t="s">
        <v>74</v>
      </c>
      <c r="AZ164" t="s">
        <v>74</v>
      </c>
      <c r="BA164" t="s">
        <v>74</v>
      </c>
      <c r="BB164" t="s">
        <v>74</v>
      </c>
      <c r="BC164">
        <v>253</v>
      </c>
      <c r="BD164">
        <v>263</v>
      </c>
      <c r="BE164" t="s">
        <v>74</v>
      </c>
      <c r="BF164" t="s">
        <v>2489</v>
      </c>
      <c r="BG164" t="s">
        <v>3230</v>
      </c>
      <c r="BH164" t="s">
        <v>74</v>
      </c>
      <c r="BI164" t="s">
        <v>74</v>
      </c>
      <c r="BJ164">
        <v>11</v>
      </c>
      <c r="BK164" t="s">
        <v>1620</v>
      </c>
      <c r="BL164" t="s">
        <v>1041</v>
      </c>
      <c r="BM164" t="s">
        <v>1620</v>
      </c>
      <c r="BN164" t="s">
        <v>2490</v>
      </c>
      <c r="BO164">
        <v>1882550</v>
      </c>
      <c r="BP164" t="s">
        <v>74</v>
      </c>
      <c r="BQ164" t="s">
        <v>74</v>
      </c>
      <c r="BR164" t="s">
        <v>74</v>
      </c>
      <c r="BS164" t="s">
        <v>86</v>
      </c>
      <c r="BT164" t="s">
        <v>2491</v>
      </c>
      <c r="BU164" t="s">
        <v>3164</v>
      </c>
    </row>
    <row r="165" spans="1:73" ht="102" x14ac:dyDescent="0.2">
      <c r="A165" t="s">
        <v>72</v>
      </c>
      <c r="B165" t="s">
        <v>2492</v>
      </c>
      <c r="C165" t="s">
        <v>74</v>
      </c>
      <c r="D165" t="s">
        <v>74</v>
      </c>
      <c r="E165" t="s">
        <v>74</v>
      </c>
      <c r="F165" t="s">
        <v>2492</v>
      </c>
      <c r="G165" t="s">
        <v>74</v>
      </c>
      <c r="H165" t="s">
        <v>74</v>
      </c>
      <c r="I165" t="s">
        <v>2493</v>
      </c>
      <c r="J165" t="s">
        <v>2112</v>
      </c>
      <c r="K165" t="s">
        <v>74</v>
      </c>
      <c r="L165" t="s">
        <v>74</v>
      </c>
      <c r="M165" t="s">
        <v>1025</v>
      </c>
      <c r="N165" t="s">
        <v>78</v>
      </c>
      <c r="O165" t="s">
        <v>74</v>
      </c>
      <c r="P165" t="s">
        <v>74</v>
      </c>
      <c r="Q165" t="s">
        <v>74</v>
      </c>
      <c r="R165" t="s">
        <v>74</v>
      </c>
      <c r="S165" t="s">
        <v>74</v>
      </c>
      <c r="T165" t="s">
        <v>74</v>
      </c>
      <c r="U165" t="s">
        <v>2494</v>
      </c>
      <c r="V165" t="b">
        <v>0</v>
      </c>
      <c r="W165" s="1" t="s">
        <v>2495</v>
      </c>
      <c r="X165" t="s">
        <v>2496</v>
      </c>
      <c r="Y165" t="s">
        <v>2497</v>
      </c>
      <c r="Z165" t="s">
        <v>2498</v>
      </c>
      <c r="AA165" t="s">
        <v>74</v>
      </c>
      <c r="AB165" t="s">
        <v>74</v>
      </c>
      <c r="AC165" t="s">
        <v>2499</v>
      </c>
      <c r="AD165" t="s">
        <v>74</v>
      </c>
      <c r="AE165" t="s">
        <v>74</v>
      </c>
      <c r="AF165" t="s">
        <v>74</v>
      </c>
      <c r="AG165" t="s">
        <v>74</v>
      </c>
      <c r="AH165">
        <v>7</v>
      </c>
      <c r="AI165">
        <v>12</v>
      </c>
      <c r="AJ165">
        <v>12</v>
      </c>
      <c r="AK165">
        <v>0</v>
      </c>
      <c r="AL165">
        <v>1</v>
      </c>
      <c r="AM165" t="s">
        <v>2500</v>
      </c>
      <c r="AN165" t="s">
        <v>2124</v>
      </c>
      <c r="AO165" t="s">
        <v>2501</v>
      </c>
      <c r="AP165" t="s">
        <v>2126</v>
      </c>
      <c r="AQ165" t="s">
        <v>2502</v>
      </c>
      <c r="AR165" t="s">
        <v>74</v>
      </c>
      <c r="AS165" t="s">
        <v>2127</v>
      </c>
      <c r="AT165" t="s">
        <v>2128</v>
      </c>
      <c r="AU165" t="s">
        <v>2503</v>
      </c>
      <c r="AV165">
        <v>2005</v>
      </c>
      <c r="AW165">
        <v>76</v>
      </c>
      <c r="AX165">
        <v>7</v>
      </c>
      <c r="AY165" t="s">
        <v>74</v>
      </c>
      <c r="AZ165" t="s">
        <v>74</v>
      </c>
      <c r="BA165" t="s">
        <v>74</v>
      </c>
      <c r="BB165" t="s">
        <v>74</v>
      </c>
      <c r="BC165" t="s">
        <v>74</v>
      </c>
      <c r="BD165" t="s">
        <v>74</v>
      </c>
      <c r="BE165">
        <v>73501</v>
      </c>
      <c r="BF165" t="s">
        <v>2504</v>
      </c>
      <c r="BG165" t="s">
        <v>3231</v>
      </c>
      <c r="BH165" t="s">
        <v>74</v>
      </c>
      <c r="BI165" t="s">
        <v>74</v>
      </c>
      <c r="BJ165">
        <v>6</v>
      </c>
      <c r="BK165" t="s">
        <v>2131</v>
      </c>
      <c r="BL165" t="s">
        <v>1041</v>
      </c>
      <c r="BM165" t="s">
        <v>2132</v>
      </c>
      <c r="BN165" t="s">
        <v>2505</v>
      </c>
      <c r="BO165" t="s">
        <v>74</v>
      </c>
      <c r="BP165" t="s">
        <v>74</v>
      </c>
      <c r="BQ165" t="s">
        <v>74</v>
      </c>
      <c r="BR165" t="s">
        <v>74</v>
      </c>
      <c r="BS165" t="s">
        <v>86</v>
      </c>
      <c r="BT165" t="s">
        <v>2506</v>
      </c>
      <c r="BU165" t="s">
        <v>3164</v>
      </c>
    </row>
    <row r="166" spans="1:73" ht="102" x14ac:dyDescent="0.2">
      <c r="A166" t="s">
        <v>72</v>
      </c>
      <c r="B166" t="s">
        <v>2507</v>
      </c>
      <c r="C166" t="s">
        <v>74</v>
      </c>
      <c r="D166" t="s">
        <v>74</v>
      </c>
      <c r="E166" t="s">
        <v>74</v>
      </c>
      <c r="F166" t="s">
        <v>2508</v>
      </c>
      <c r="G166" t="s">
        <v>74</v>
      </c>
      <c r="H166" t="s">
        <v>2509</v>
      </c>
      <c r="I166" t="s">
        <v>2510</v>
      </c>
      <c r="J166" t="s">
        <v>336</v>
      </c>
      <c r="K166" t="s">
        <v>74</v>
      </c>
      <c r="L166" t="s">
        <v>74</v>
      </c>
      <c r="M166" t="s">
        <v>1025</v>
      </c>
      <c r="N166" t="s">
        <v>337</v>
      </c>
      <c r="O166" t="s">
        <v>2511</v>
      </c>
      <c r="P166" t="s">
        <v>2512</v>
      </c>
      <c r="Q166" t="s">
        <v>2513</v>
      </c>
      <c r="R166" t="s">
        <v>2514</v>
      </c>
      <c r="S166" t="s">
        <v>74</v>
      </c>
      <c r="T166" t="s">
        <v>2515</v>
      </c>
      <c r="U166" t="s">
        <v>2516</v>
      </c>
      <c r="V166" t="b">
        <v>0</v>
      </c>
      <c r="W166" s="1" t="s">
        <v>2517</v>
      </c>
      <c r="X166" t="s">
        <v>2518</v>
      </c>
      <c r="Y166" t="s">
        <v>2519</v>
      </c>
      <c r="Z166" t="s">
        <v>2520</v>
      </c>
      <c r="AA166" t="s">
        <v>2521</v>
      </c>
      <c r="AB166" t="s">
        <v>1444</v>
      </c>
      <c r="AC166" t="s">
        <v>1445</v>
      </c>
      <c r="AD166" t="s">
        <v>74</v>
      </c>
      <c r="AE166" t="s">
        <v>74</v>
      </c>
      <c r="AF166" t="s">
        <v>74</v>
      </c>
      <c r="AG166" t="s">
        <v>74</v>
      </c>
      <c r="AH166">
        <v>13</v>
      </c>
      <c r="AI166">
        <v>96</v>
      </c>
      <c r="AJ166">
        <v>105</v>
      </c>
      <c r="AK166">
        <v>1</v>
      </c>
      <c r="AL166">
        <v>28</v>
      </c>
      <c r="AM166" t="s">
        <v>1081</v>
      </c>
      <c r="AN166" t="s">
        <v>1034</v>
      </c>
      <c r="AO166" t="s">
        <v>1082</v>
      </c>
      <c r="AP166" t="s">
        <v>1360</v>
      </c>
      <c r="AQ166" t="s">
        <v>74</v>
      </c>
      <c r="AR166" t="s">
        <v>74</v>
      </c>
      <c r="AS166" t="s">
        <v>1362</v>
      </c>
      <c r="AT166" t="s">
        <v>1363</v>
      </c>
      <c r="AU166" t="s">
        <v>2522</v>
      </c>
      <c r="AV166">
        <v>2007</v>
      </c>
      <c r="AW166">
        <v>363</v>
      </c>
      <c r="AX166" t="s">
        <v>74</v>
      </c>
      <c r="AY166" t="s">
        <v>74</v>
      </c>
      <c r="AZ166" t="s">
        <v>74</v>
      </c>
      <c r="BA166" t="s">
        <v>74</v>
      </c>
      <c r="BB166" t="s">
        <v>74</v>
      </c>
      <c r="BC166">
        <v>1346</v>
      </c>
      <c r="BD166">
        <v>1351</v>
      </c>
      <c r="BE166" t="s">
        <v>74</v>
      </c>
      <c r="BF166" t="s">
        <v>2523</v>
      </c>
      <c r="BG166" t="s">
        <v>3232</v>
      </c>
      <c r="BH166" t="s">
        <v>74</v>
      </c>
      <c r="BI166" t="s">
        <v>74</v>
      </c>
      <c r="BJ166">
        <v>6</v>
      </c>
      <c r="BK166" t="s">
        <v>1368</v>
      </c>
      <c r="BL166" t="s">
        <v>1409</v>
      </c>
      <c r="BM166" t="s">
        <v>1369</v>
      </c>
      <c r="BN166" t="s">
        <v>2524</v>
      </c>
      <c r="BO166" t="s">
        <v>74</v>
      </c>
      <c r="BP166" t="s">
        <v>74</v>
      </c>
      <c r="BQ166" t="s">
        <v>74</v>
      </c>
      <c r="BR166" t="s">
        <v>74</v>
      </c>
      <c r="BS166" t="s">
        <v>86</v>
      </c>
      <c r="BT166" t="s">
        <v>2525</v>
      </c>
      <c r="BU166" t="s">
        <v>3164</v>
      </c>
    </row>
    <row r="167" spans="1:73" ht="102" x14ac:dyDescent="0.2">
      <c r="A167" t="s">
        <v>72</v>
      </c>
      <c r="B167" t="s">
        <v>2526</v>
      </c>
      <c r="C167" t="s">
        <v>74</v>
      </c>
      <c r="D167" t="s">
        <v>74</v>
      </c>
      <c r="E167" t="s">
        <v>74</v>
      </c>
      <c r="F167" t="s">
        <v>2527</v>
      </c>
      <c r="G167" t="s">
        <v>74</v>
      </c>
      <c r="H167" t="s">
        <v>74</v>
      </c>
      <c r="I167" t="s">
        <v>2528</v>
      </c>
      <c r="J167" t="s">
        <v>2529</v>
      </c>
      <c r="K167" t="s">
        <v>74</v>
      </c>
      <c r="L167" t="s">
        <v>74</v>
      </c>
      <c r="M167" t="s">
        <v>1025</v>
      </c>
      <c r="N167" t="s">
        <v>78</v>
      </c>
      <c r="O167" t="s">
        <v>74</v>
      </c>
      <c r="P167" t="s">
        <v>74</v>
      </c>
      <c r="Q167" t="s">
        <v>74</v>
      </c>
      <c r="R167" t="s">
        <v>74</v>
      </c>
      <c r="S167" t="s">
        <v>74</v>
      </c>
      <c r="T167" t="s">
        <v>2530</v>
      </c>
      <c r="U167" t="s">
        <v>2531</v>
      </c>
      <c r="V167" t="b">
        <v>0</v>
      </c>
      <c r="W167" s="1" t="s">
        <v>2532</v>
      </c>
      <c r="X167" t="s">
        <v>2533</v>
      </c>
      <c r="Y167" t="s">
        <v>2534</v>
      </c>
      <c r="Z167" t="s">
        <v>2535</v>
      </c>
      <c r="AA167" t="s">
        <v>2536</v>
      </c>
      <c r="AB167" t="s">
        <v>74</v>
      </c>
      <c r="AC167" t="s">
        <v>74</v>
      </c>
      <c r="AD167" t="s">
        <v>2537</v>
      </c>
      <c r="AE167" t="s">
        <v>2538</v>
      </c>
      <c r="AF167" t="s">
        <v>2539</v>
      </c>
      <c r="AG167" t="s">
        <v>74</v>
      </c>
      <c r="AH167">
        <v>30</v>
      </c>
      <c r="AI167">
        <v>0</v>
      </c>
      <c r="AJ167">
        <v>0</v>
      </c>
      <c r="AK167">
        <v>1</v>
      </c>
      <c r="AL167">
        <v>8</v>
      </c>
      <c r="AM167" t="s">
        <v>2540</v>
      </c>
      <c r="AN167" t="s">
        <v>2541</v>
      </c>
      <c r="AO167" t="s">
        <v>2542</v>
      </c>
      <c r="AP167" t="s">
        <v>2543</v>
      </c>
      <c r="AQ167" t="s">
        <v>2544</v>
      </c>
      <c r="AR167" t="s">
        <v>74</v>
      </c>
      <c r="AS167" t="s">
        <v>2545</v>
      </c>
      <c r="AT167" t="s">
        <v>2546</v>
      </c>
      <c r="AU167" t="s">
        <v>2547</v>
      </c>
      <c r="AV167">
        <v>2020</v>
      </c>
      <c r="AW167">
        <v>34</v>
      </c>
      <c r="AX167">
        <v>32</v>
      </c>
      <c r="AY167" t="s">
        <v>74</v>
      </c>
      <c r="AZ167" t="s">
        <v>74</v>
      </c>
      <c r="BA167" t="s">
        <v>74</v>
      </c>
      <c r="BB167" t="s">
        <v>74</v>
      </c>
      <c r="BC167" t="s">
        <v>74</v>
      </c>
      <c r="BD167" t="s">
        <v>74</v>
      </c>
      <c r="BE167">
        <v>2050312</v>
      </c>
      <c r="BF167" t="s">
        <v>2548</v>
      </c>
      <c r="BG167" t="s">
        <v>3233</v>
      </c>
      <c r="BH167" t="s">
        <v>74</v>
      </c>
      <c r="BI167" t="s">
        <v>74</v>
      </c>
      <c r="BJ167">
        <v>12</v>
      </c>
      <c r="BK167" t="s">
        <v>2549</v>
      </c>
      <c r="BL167" t="s">
        <v>1041</v>
      </c>
      <c r="BM167" t="s">
        <v>1705</v>
      </c>
      <c r="BN167" t="s">
        <v>2550</v>
      </c>
      <c r="BO167" t="s">
        <v>74</v>
      </c>
      <c r="BP167" t="s">
        <v>74</v>
      </c>
      <c r="BQ167" t="s">
        <v>74</v>
      </c>
      <c r="BR167" t="s">
        <v>74</v>
      </c>
      <c r="BS167" t="s">
        <v>86</v>
      </c>
      <c r="BT167" t="s">
        <v>2551</v>
      </c>
      <c r="BU167" t="s">
        <v>3164</v>
      </c>
    </row>
    <row r="168" spans="1:73" ht="153" x14ac:dyDescent="0.2">
      <c r="A168" t="s">
        <v>72</v>
      </c>
      <c r="B168" t="s">
        <v>2552</v>
      </c>
      <c r="C168" t="s">
        <v>74</v>
      </c>
      <c r="D168" t="s">
        <v>74</v>
      </c>
      <c r="E168" t="s">
        <v>74</v>
      </c>
      <c r="F168" t="s">
        <v>2553</v>
      </c>
      <c r="G168" t="s">
        <v>74</v>
      </c>
      <c r="H168" t="s">
        <v>74</v>
      </c>
      <c r="I168" t="s">
        <v>2554</v>
      </c>
      <c r="J168" t="s">
        <v>704</v>
      </c>
      <c r="K168" t="s">
        <v>74</v>
      </c>
      <c r="L168" t="s">
        <v>74</v>
      </c>
      <c r="M168" t="s">
        <v>1025</v>
      </c>
      <c r="N168" t="s">
        <v>78</v>
      </c>
      <c r="O168" t="s">
        <v>74</v>
      </c>
      <c r="P168" t="s">
        <v>74</v>
      </c>
      <c r="Q168" t="s">
        <v>74</v>
      </c>
      <c r="R168" t="s">
        <v>74</v>
      </c>
      <c r="S168" t="s">
        <v>74</v>
      </c>
      <c r="T168" t="s">
        <v>2555</v>
      </c>
      <c r="U168" t="s">
        <v>2556</v>
      </c>
      <c r="V168" t="b">
        <v>0</v>
      </c>
      <c r="W168" s="1" t="s">
        <v>2557</v>
      </c>
      <c r="X168" t="s">
        <v>2558</v>
      </c>
      <c r="Y168" t="s">
        <v>2559</v>
      </c>
      <c r="Z168" t="s">
        <v>2560</v>
      </c>
      <c r="AA168" t="s">
        <v>2561</v>
      </c>
      <c r="AB168" t="s">
        <v>2562</v>
      </c>
      <c r="AC168" t="s">
        <v>2563</v>
      </c>
      <c r="AD168" t="s">
        <v>74</v>
      </c>
      <c r="AE168" t="s">
        <v>74</v>
      </c>
      <c r="AF168" t="s">
        <v>74</v>
      </c>
      <c r="AG168" t="s">
        <v>74</v>
      </c>
      <c r="AH168">
        <v>82</v>
      </c>
      <c r="AI168">
        <v>5</v>
      </c>
      <c r="AJ168">
        <v>10</v>
      </c>
      <c r="AK168">
        <v>0</v>
      </c>
      <c r="AL168">
        <v>60</v>
      </c>
      <c r="AM168" t="s">
        <v>1778</v>
      </c>
      <c r="AN168" t="s">
        <v>1779</v>
      </c>
      <c r="AO168" t="s">
        <v>2564</v>
      </c>
      <c r="AP168" t="s">
        <v>74</v>
      </c>
      <c r="AQ168" t="s">
        <v>2393</v>
      </c>
      <c r="AR168" t="s">
        <v>74</v>
      </c>
      <c r="AS168" t="s">
        <v>2394</v>
      </c>
      <c r="AT168" t="s">
        <v>2395</v>
      </c>
      <c r="AU168" t="s">
        <v>950</v>
      </c>
      <c r="AV168">
        <v>2019</v>
      </c>
      <c r="AW168">
        <v>11</v>
      </c>
      <c r="AX168">
        <v>19</v>
      </c>
      <c r="AY168" t="s">
        <v>74</v>
      </c>
      <c r="AZ168" t="s">
        <v>74</v>
      </c>
      <c r="BA168" t="s">
        <v>74</v>
      </c>
      <c r="BB168" t="s">
        <v>74</v>
      </c>
      <c r="BC168" t="s">
        <v>74</v>
      </c>
      <c r="BD168" t="s">
        <v>74</v>
      </c>
      <c r="BE168">
        <v>5229</v>
      </c>
      <c r="BF168" t="s">
        <v>2565</v>
      </c>
      <c r="BG168" t="s">
        <v>3234</v>
      </c>
      <c r="BH168" t="s">
        <v>74</v>
      </c>
      <c r="BI168" t="s">
        <v>74</v>
      </c>
      <c r="BJ168">
        <v>19</v>
      </c>
      <c r="BK168" t="s">
        <v>2398</v>
      </c>
      <c r="BL168" t="s">
        <v>1549</v>
      </c>
      <c r="BM168" t="s">
        <v>2399</v>
      </c>
      <c r="BN168" t="s">
        <v>2566</v>
      </c>
      <c r="BO168" t="s">
        <v>74</v>
      </c>
      <c r="BP168" t="s">
        <v>1466</v>
      </c>
      <c r="BQ168" t="s">
        <v>74</v>
      </c>
      <c r="BR168" t="s">
        <v>74</v>
      </c>
      <c r="BS168" t="s">
        <v>86</v>
      </c>
      <c r="BT168" t="s">
        <v>2567</v>
      </c>
      <c r="BU168" t="s">
        <v>3164</v>
      </c>
    </row>
    <row r="169" spans="1:73" ht="153" x14ac:dyDescent="0.2">
      <c r="A169" t="s">
        <v>72</v>
      </c>
      <c r="B169" t="s">
        <v>2568</v>
      </c>
      <c r="C169" t="s">
        <v>74</v>
      </c>
      <c r="D169" t="s">
        <v>74</v>
      </c>
      <c r="E169" t="s">
        <v>74</v>
      </c>
      <c r="F169" t="s">
        <v>2568</v>
      </c>
      <c r="G169" t="s">
        <v>74</v>
      </c>
      <c r="H169" t="s">
        <v>2569</v>
      </c>
      <c r="I169" t="s">
        <v>2570</v>
      </c>
      <c r="J169" t="s">
        <v>641</v>
      </c>
      <c r="K169" t="s">
        <v>74</v>
      </c>
      <c r="L169" t="s">
        <v>74</v>
      </c>
      <c r="M169" t="s">
        <v>1025</v>
      </c>
      <c r="N169" t="s">
        <v>337</v>
      </c>
      <c r="O169" t="s">
        <v>2571</v>
      </c>
      <c r="P169" t="s">
        <v>2572</v>
      </c>
      <c r="Q169" t="s">
        <v>2573</v>
      </c>
      <c r="R169" t="s">
        <v>74</v>
      </c>
      <c r="S169" t="s">
        <v>74</v>
      </c>
      <c r="T169" t="s">
        <v>2574</v>
      </c>
      <c r="U169" t="s">
        <v>2575</v>
      </c>
      <c r="V169" t="b">
        <v>0</v>
      </c>
      <c r="W169" s="1" t="s">
        <v>2576</v>
      </c>
      <c r="X169" t="s">
        <v>2577</v>
      </c>
      <c r="Y169" t="s">
        <v>74</v>
      </c>
      <c r="Z169" t="s">
        <v>2578</v>
      </c>
      <c r="AA169" t="s">
        <v>2579</v>
      </c>
      <c r="AB169" t="s">
        <v>1444</v>
      </c>
      <c r="AC169" t="s">
        <v>2199</v>
      </c>
      <c r="AD169" t="s">
        <v>74</v>
      </c>
      <c r="AE169" t="s">
        <v>74</v>
      </c>
      <c r="AF169" t="s">
        <v>74</v>
      </c>
      <c r="AG169" t="s">
        <v>74</v>
      </c>
      <c r="AH169">
        <v>29</v>
      </c>
      <c r="AI169">
        <v>52</v>
      </c>
      <c r="AJ169">
        <v>60</v>
      </c>
      <c r="AK169">
        <v>1</v>
      </c>
      <c r="AL169">
        <v>18</v>
      </c>
      <c r="AM169" t="s">
        <v>1059</v>
      </c>
      <c r="AN169" t="s">
        <v>1060</v>
      </c>
      <c r="AO169" t="s">
        <v>1061</v>
      </c>
      <c r="AP169" t="s">
        <v>1062</v>
      </c>
      <c r="AQ169" t="s">
        <v>1478</v>
      </c>
      <c r="AR169" t="s">
        <v>74</v>
      </c>
      <c r="AS169" t="s">
        <v>1063</v>
      </c>
      <c r="AT169" t="s">
        <v>1064</v>
      </c>
      <c r="AU169" t="s">
        <v>83</v>
      </c>
      <c r="AV169">
        <v>2003</v>
      </c>
      <c r="AW169">
        <v>65</v>
      </c>
      <c r="AX169">
        <v>3</v>
      </c>
      <c r="AY169" t="s">
        <v>74</v>
      </c>
      <c r="AZ169" t="s">
        <v>74</v>
      </c>
      <c r="BA169" t="s">
        <v>456</v>
      </c>
      <c r="BB169" t="s">
        <v>74</v>
      </c>
      <c r="BC169">
        <v>455</v>
      </c>
      <c r="BD169">
        <v>465</v>
      </c>
      <c r="BE169" t="s">
        <v>74</v>
      </c>
      <c r="BF169" t="s">
        <v>2580</v>
      </c>
      <c r="BG169" t="s">
        <v>3235</v>
      </c>
      <c r="BH169" t="s">
        <v>74</v>
      </c>
      <c r="BI169" t="s">
        <v>74</v>
      </c>
      <c r="BJ169">
        <v>11</v>
      </c>
      <c r="BK169" t="s">
        <v>1066</v>
      </c>
      <c r="BL169" t="s">
        <v>1186</v>
      </c>
      <c r="BM169" t="s">
        <v>1066</v>
      </c>
      <c r="BN169" t="s">
        <v>2581</v>
      </c>
      <c r="BO169" t="s">
        <v>74</v>
      </c>
      <c r="BP169" t="s">
        <v>74</v>
      </c>
      <c r="BQ169" t="s">
        <v>74</v>
      </c>
      <c r="BR169" t="s">
        <v>74</v>
      </c>
      <c r="BS169" t="s">
        <v>86</v>
      </c>
      <c r="BT169" t="s">
        <v>2582</v>
      </c>
      <c r="BU169" t="s">
        <v>3164</v>
      </c>
    </row>
    <row r="170" spans="1:73" ht="221" x14ac:dyDescent="0.2">
      <c r="A170" t="s">
        <v>72</v>
      </c>
      <c r="B170" t="s">
        <v>194</v>
      </c>
      <c r="C170" t="s">
        <v>74</v>
      </c>
      <c r="D170" t="s">
        <v>74</v>
      </c>
      <c r="E170" t="s">
        <v>74</v>
      </c>
      <c r="F170" t="s">
        <v>195</v>
      </c>
      <c r="G170" t="s">
        <v>74</v>
      </c>
      <c r="H170" t="s">
        <v>74</v>
      </c>
      <c r="I170" t="s">
        <v>196</v>
      </c>
      <c r="J170" t="s">
        <v>103</v>
      </c>
      <c r="K170" t="s">
        <v>74</v>
      </c>
      <c r="L170" t="s">
        <v>74</v>
      </c>
      <c r="M170" t="s">
        <v>1025</v>
      </c>
      <c r="N170" t="s">
        <v>78</v>
      </c>
      <c r="O170" t="s">
        <v>74</v>
      </c>
      <c r="P170" t="s">
        <v>74</v>
      </c>
      <c r="Q170" t="s">
        <v>74</v>
      </c>
      <c r="R170" t="s">
        <v>74</v>
      </c>
      <c r="S170" t="s">
        <v>74</v>
      </c>
      <c r="T170" t="s">
        <v>2583</v>
      </c>
      <c r="U170" t="s">
        <v>2584</v>
      </c>
      <c r="V170" t="b">
        <v>1</v>
      </c>
      <c r="W170" s="1" t="s">
        <v>197</v>
      </c>
      <c r="X170" t="s">
        <v>198</v>
      </c>
      <c r="Y170" t="s">
        <v>2585</v>
      </c>
      <c r="Z170" t="s">
        <v>199</v>
      </c>
      <c r="AA170" t="s">
        <v>200</v>
      </c>
      <c r="AB170" t="s">
        <v>2586</v>
      </c>
      <c r="AC170" t="s">
        <v>2587</v>
      </c>
      <c r="AD170" t="s">
        <v>2588</v>
      </c>
      <c r="AE170" t="s">
        <v>2589</v>
      </c>
      <c r="AF170" t="s">
        <v>2590</v>
      </c>
      <c r="AG170" t="s">
        <v>74</v>
      </c>
      <c r="AH170">
        <v>77</v>
      </c>
      <c r="AI170">
        <v>29</v>
      </c>
      <c r="AJ170">
        <v>35</v>
      </c>
      <c r="AK170">
        <v>22</v>
      </c>
      <c r="AL170">
        <v>245</v>
      </c>
      <c r="AM170" t="s">
        <v>1315</v>
      </c>
      <c r="AN170" t="s">
        <v>1316</v>
      </c>
      <c r="AO170" t="s">
        <v>1317</v>
      </c>
      <c r="AP170" t="s">
        <v>1318</v>
      </c>
      <c r="AQ170" t="s">
        <v>1319</v>
      </c>
      <c r="AR170" t="s">
        <v>74</v>
      </c>
      <c r="AS170" t="s">
        <v>1320</v>
      </c>
      <c r="AT170" t="s">
        <v>1321</v>
      </c>
      <c r="AU170" t="s">
        <v>179</v>
      </c>
      <c r="AV170">
        <v>2023</v>
      </c>
      <c r="AW170">
        <v>87</v>
      </c>
      <c r="AX170" t="s">
        <v>74</v>
      </c>
      <c r="AY170" t="s">
        <v>201</v>
      </c>
      <c r="AZ170" t="s">
        <v>74</v>
      </c>
      <c r="BA170" t="s">
        <v>74</v>
      </c>
      <c r="BB170" t="s">
        <v>74</v>
      </c>
      <c r="BC170" t="s">
        <v>74</v>
      </c>
      <c r="BD170" t="s">
        <v>74</v>
      </c>
      <c r="BE170">
        <v>104339</v>
      </c>
      <c r="BF170" t="s">
        <v>202</v>
      </c>
      <c r="BG170" t="s">
        <v>3236</v>
      </c>
      <c r="BH170" t="s">
        <v>74</v>
      </c>
      <c r="BI170" t="s">
        <v>203</v>
      </c>
      <c r="BJ170">
        <v>12</v>
      </c>
      <c r="BK170" t="s">
        <v>1322</v>
      </c>
      <c r="BL170" t="s">
        <v>1323</v>
      </c>
      <c r="BM170" t="s">
        <v>1324</v>
      </c>
      <c r="BN170" t="s">
        <v>2591</v>
      </c>
      <c r="BO170" t="s">
        <v>74</v>
      </c>
      <c r="BP170" t="s">
        <v>74</v>
      </c>
      <c r="BQ170" t="s">
        <v>74</v>
      </c>
      <c r="BR170" t="s">
        <v>74</v>
      </c>
      <c r="BS170" t="s">
        <v>86</v>
      </c>
      <c r="BT170" t="s">
        <v>204</v>
      </c>
      <c r="BU170" t="s">
        <v>3164</v>
      </c>
    </row>
    <row r="171" spans="1:73" ht="119" x14ac:dyDescent="0.2">
      <c r="A171" t="s">
        <v>72</v>
      </c>
      <c r="B171" t="s">
        <v>2592</v>
      </c>
      <c r="C171" t="s">
        <v>74</v>
      </c>
      <c r="D171" t="s">
        <v>74</v>
      </c>
      <c r="E171" t="s">
        <v>74</v>
      </c>
      <c r="F171" t="s">
        <v>2592</v>
      </c>
      <c r="G171" t="s">
        <v>74</v>
      </c>
      <c r="H171" t="s">
        <v>74</v>
      </c>
      <c r="I171" t="s">
        <v>2593</v>
      </c>
      <c r="J171" t="s">
        <v>2594</v>
      </c>
      <c r="K171" t="s">
        <v>74</v>
      </c>
      <c r="L171" t="s">
        <v>74</v>
      </c>
      <c r="M171" t="s">
        <v>1025</v>
      </c>
      <c r="N171" t="s">
        <v>78</v>
      </c>
      <c r="O171" t="s">
        <v>74</v>
      </c>
      <c r="P171" t="s">
        <v>74</v>
      </c>
      <c r="Q171" t="s">
        <v>74</v>
      </c>
      <c r="R171" t="s">
        <v>74</v>
      </c>
      <c r="S171" t="s">
        <v>74</v>
      </c>
      <c r="T171" t="s">
        <v>2595</v>
      </c>
      <c r="U171" t="s">
        <v>2596</v>
      </c>
      <c r="V171" t="b">
        <v>0</v>
      </c>
      <c r="W171" s="1" t="s">
        <v>2597</v>
      </c>
      <c r="X171" t="s">
        <v>2598</v>
      </c>
      <c r="Y171" t="s">
        <v>74</v>
      </c>
      <c r="Z171" t="s">
        <v>74</v>
      </c>
      <c r="AA171" t="s">
        <v>74</v>
      </c>
      <c r="AB171" t="s">
        <v>74</v>
      </c>
      <c r="AC171" t="s">
        <v>74</v>
      </c>
      <c r="AD171" t="s">
        <v>74</v>
      </c>
      <c r="AE171" t="s">
        <v>74</v>
      </c>
      <c r="AF171" t="s">
        <v>74</v>
      </c>
      <c r="AG171" t="s">
        <v>74</v>
      </c>
      <c r="AH171">
        <v>17</v>
      </c>
      <c r="AI171">
        <v>10</v>
      </c>
      <c r="AJ171">
        <v>10</v>
      </c>
      <c r="AK171">
        <v>1</v>
      </c>
      <c r="AL171">
        <v>13</v>
      </c>
      <c r="AM171" t="s">
        <v>1081</v>
      </c>
      <c r="AN171" t="s">
        <v>1034</v>
      </c>
      <c r="AO171" t="s">
        <v>1082</v>
      </c>
      <c r="AP171" t="s">
        <v>2599</v>
      </c>
      <c r="AQ171" t="s">
        <v>74</v>
      </c>
      <c r="AR171" t="s">
        <v>74</v>
      </c>
      <c r="AS171" t="s">
        <v>2594</v>
      </c>
      <c r="AT171" t="s">
        <v>2600</v>
      </c>
      <c r="AU171" t="s">
        <v>108</v>
      </c>
      <c r="AV171">
        <v>1996</v>
      </c>
      <c r="AW171">
        <v>83</v>
      </c>
      <c r="AX171" t="s">
        <v>2415</v>
      </c>
      <c r="AY171" t="s">
        <v>74</v>
      </c>
      <c r="AZ171" t="s">
        <v>74</v>
      </c>
      <c r="BA171" t="s">
        <v>74</v>
      </c>
      <c r="BB171" t="s">
        <v>74</v>
      </c>
      <c r="BC171">
        <v>125</v>
      </c>
      <c r="BD171">
        <v>133</v>
      </c>
      <c r="BE171" t="s">
        <v>74</v>
      </c>
      <c r="BF171" t="s">
        <v>2601</v>
      </c>
      <c r="BG171" t="s">
        <v>3237</v>
      </c>
      <c r="BH171" t="s">
        <v>74</v>
      </c>
      <c r="BI171" t="s">
        <v>74</v>
      </c>
      <c r="BJ171">
        <v>9</v>
      </c>
      <c r="BK171" t="s">
        <v>2602</v>
      </c>
      <c r="BL171" t="s">
        <v>1041</v>
      </c>
      <c r="BM171" t="s">
        <v>2603</v>
      </c>
      <c r="BN171" t="s">
        <v>2604</v>
      </c>
      <c r="BO171" t="s">
        <v>74</v>
      </c>
      <c r="BP171" t="s">
        <v>74</v>
      </c>
      <c r="BQ171" t="s">
        <v>74</v>
      </c>
      <c r="BR171" t="s">
        <v>74</v>
      </c>
      <c r="BS171" t="s">
        <v>86</v>
      </c>
      <c r="BT171" t="s">
        <v>2605</v>
      </c>
      <c r="BU171" t="s">
        <v>3164</v>
      </c>
    </row>
    <row r="172" spans="1:73" ht="153" x14ac:dyDescent="0.2">
      <c r="A172" t="s">
        <v>72</v>
      </c>
      <c r="B172" t="s">
        <v>2606</v>
      </c>
      <c r="C172" t="s">
        <v>74</v>
      </c>
      <c r="D172" t="s">
        <v>74</v>
      </c>
      <c r="E172" t="s">
        <v>74</v>
      </c>
      <c r="F172" t="s">
        <v>2607</v>
      </c>
      <c r="G172" t="s">
        <v>74</v>
      </c>
      <c r="H172" t="s">
        <v>74</v>
      </c>
      <c r="I172" t="s">
        <v>2608</v>
      </c>
      <c r="J172" t="s">
        <v>2609</v>
      </c>
      <c r="K172" t="s">
        <v>74</v>
      </c>
      <c r="L172" t="s">
        <v>74</v>
      </c>
      <c r="M172" t="s">
        <v>1025</v>
      </c>
      <c r="N172" t="s">
        <v>78</v>
      </c>
      <c r="O172" t="s">
        <v>74</v>
      </c>
      <c r="P172" t="s">
        <v>74</v>
      </c>
      <c r="Q172" t="s">
        <v>74</v>
      </c>
      <c r="R172" t="s">
        <v>74</v>
      </c>
      <c r="S172" t="s">
        <v>74</v>
      </c>
      <c r="T172" t="s">
        <v>2610</v>
      </c>
      <c r="U172" t="s">
        <v>2611</v>
      </c>
      <c r="V172" t="b">
        <v>0</v>
      </c>
      <c r="W172" s="1" t="s">
        <v>2612</v>
      </c>
      <c r="X172" t="s">
        <v>2613</v>
      </c>
      <c r="Y172" t="s">
        <v>2614</v>
      </c>
      <c r="Z172" t="s">
        <v>2615</v>
      </c>
      <c r="AA172" t="s">
        <v>2616</v>
      </c>
      <c r="AB172" t="s">
        <v>2617</v>
      </c>
      <c r="AC172" t="s">
        <v>2618</v>
      </c>
      <c r="AD172" t="s">
        <v>74</v>
      </c>
      <c r="AE172" t="s">
        <v>74</v>
      </c>
      <c r="AF172" t="s">
        <v>74</v>
      </c>
      <c r="AG172" t="s">
        <v>74</v>
      </c>
      <c r="AH172">
        <v>44</v>
      </c>
      <c r="AI172">
        <v>51</v>
      </c>
      <c r="AJ172">
        <v>54</v>
      </c>
      <c r="AK172">
        <v>0</v>
      </c>
      <c r="AL172">
        <v>35</v>
      </c>
      <c r="AM172" t="s">
        <v>2410</v>
      </c>
      <c r="AN172" t="s">
        <v>2619</v>
      </c>
      <c r="AO172" t="s">
        <v>2620</v>
      </c>
      <c r="AP172" t="s">
        <v>2621</v>
      </c>
      <c r="AQ172" t="s">
        <v>2622</v>
      </c>
      <c r="AR172" t="s">
        <v>74</v>
      </c>
      <c r="AS172" t="s">
        <v>2609</v>
      </c>
      <c r="AT172" t="s">
        <v>2623</v>
      </c>
      <c r="AU172" t="s">
        <v>425</v>
      </c>
      <c r="AV172">
        <v>2012</v>
      </c>
      <c r="AW172">
        <v>25</v>
      </c>
      <c r="AX172">
        <v>5</v>
      </c>
      <c r="AY172" t="s">
        <v>74</v>
      </c>
      <c r="AZ172" t="s">
        <v>74</v>
      </c>
      <c r="BA172" t="s">
        <v>74</v>
      </c>
      <c r="BB172" t="s">
        <v>74</v>
      </c>
      <c r="BC172">
        <v>863</v>
      </c>
      <c r="BD172">
        <v>873</v>
      </c>
      <c r="BE172" t="s">
        <v>74</v>
      </c>
      <c r="BF172" t="s">
        <v>2624</v>
      </c>
      <c r="BG172" t="s">
        <v>3238</v>
      </c>
      <c r="BH172" t="s">
        <v>74</v>
      </c>
      <c r="BI172" t="s">
        <v>74</v>
      </c>
      <c r="BJ172">
        <v>11</v>
      </c>
      <c r="BK172" t="s">
        <v>1408</v>
      </c>
      <c r="BL172" t="s">
        <v>1041</v>
      </c>
      <c r="BM172" t="s">
        <v>1408</v>
      </c>
      <c r="BN172" t="s">
        <v>2625</v>
      </c>
      <c r="BO172">
        <v>22588640</v>
      </c>
      <c r="BP172" t="s">
        <v>74</v>
      </c>
      <c r="BQ172" t="s">
        <v>74</v>
      </c>
      <c r="BR172" t="s">
        <v>74</v>
      </c>
      <c r="BS172" t="s">
        <v>86</v>
      </c>
      <c r="BT172" t="s">
        <v>2626</v>
      </c>
      <c r="BU172" t="s">
        <v>3164</v>
      </c>
    </row>
    <row r="173" spans="1:73" ht="136" x14ac:dyDescent="0.2">
      <c r="A173" t="s">
        <v>72</v>
      </c>
      <c r="B173" t="s">
        <v>2627</v>
      </c>
      <c r="C173" t="s">
        <v>74</v>
      </c>
      <c r="D173" t="s">
        <v>74</v>
      </c>
      <c r="E173" t="s">
        <v>74</v>
      </c>
      <c r="F173" t="s">
        <v>2628</v>
      </c>
      <c r="G173" t="s">
        <v>74</v>
      </c>
      <c r="H173" t="s">
        <v>74</v>
      </c>
      <c r="I173" t="s">
        <v>2629</v>
      </c>
      <c r="J173" t="s">
        <v>1500</v>
      </c>
      <c r="K173" t="s">
        <v>74</v>
      </c>
      <c r="L173" t="s">
        <v>74</v>
      </c>
      <c r="M173" t="s">
        <v>1025</v>
      </c>
      <c r="N173" t="s">
        <v>78</v>
      </c>
      <c r="O173" t="s">
        <v>74</v>
      </c>
      <c r="P173" t="s">
        <v>74</v>
      </c>
      <c r="Q173" t="s">
        <v>74</v>
      </c>
      <c r="R173" t="s">
        <v>74</v>
      </c>
      <c r="S173" t="s">
        <v>74</v>
      </c>
      <c r="T173" t="s">
        <v>74</v>
      </c>
      <c r="U173" t="s">
        <v>2630</v>
      </c>
      <c r="V173" t="b">
        <v>0</v>
      </c>
      <c r="W173" s="1" t="s">
        <v>2631</v>
      </c>
      <c r="X173" t="s">
        <v>2632</v>
      </c>
      <c r="Y173" t="s">
        <v>2633</v>
      </c>
      <c r="Z173" t="s">
        <v>2634</v>
      </c>
      <c r="AA173" t="s">
        <v>2635</v>
      </c>
      <c r="AB173" t="s">
        <v>2636</v>
      </c>
      <c r="AC173" t="s">
        <v>2637</v>
      </c>
      <c r="AD173" t="s">
        <v>2638</v>
      </c>
      <c r="AE173" t="s">
        <v>2639</v>
      </c>
      <c r="AF173" t="s">
        <v>2640</v>
      </c>
      <c r="AG173" t="s">
        <v>74</v>
      </c>
      <c r="AH173">
        <v>55</v>
      </c>
      <c r="AI173">
        <v>7</v>
      </c>
      <c r="AJ173">
        <v>8</v>
      </c>
      <c r="AK173">
        <v>2</v>
      </c>
      <c r="AL173">
        <v>14</v>
      </c>
      <c r="AM173" t="s">
        <v>1457</v>
      </c>
      <c r="AN173" t="s">
        <v>1458</v>
      </c>
      <c r="AO173" t="s">
        <v>1459</v>
      </c>
      <c r="AP173" t="s">
        <v>1513</v>
      </c>
      <c r="AQ173" t="s">
        <v>74</v>
      </c>
      <c r="AR173" t="s">
        <v>74</v>
      </c>
      <c r="AS173" t="s">
        <v>1514</v>
      </c>
      <c r="AT173" t="s">
        <v>1515</v>
      </c>
      <c r="AU173" t="s">
        <v>2641</v>
      </c>
      <c r="AV173">
        <v>2023</v>
      </c>
      <c r="AW173">
        <v>13</v>
      </c>
      <c r="AX173">
        <v>1</v>
      </c>
      <c r="AY173" t="s">
        <v>74</v>
      </c>
      <c r="AZ173" t="s">
        <v>74</v>
      </c>
      <c r="BA173" t="s">
        <v>74</v>
      </c>
      <c r="BB173" t="s">
        <v>74</v>
      </c>
      <c r="BC173" t="s">
        <v>74</v>
      </c>
      <c r="BD173" t="s">
        <v>74</v>
      </c>
      <c r="BE173">
        <v>19861</v>
      </c>
      <c r="BF173" t="s">
        <v>2642</v>
      </c>
      <c r="BG173" t="s">
        <v>3239</v>
      </c>
      <c r="BH173" t="s">
        <v>74</v>
      </c>
      <c r="BI173" t="s">
        <v>74</v>
      </c>
      <c r="BJ173">
        <v>9</v>
      </c>
      <c r="BK173" t="s">
        <v>1463</v>
      </c>
      <c r="BL173" t="s">
        <v>1041</v>
      </c>
      <c r="BM173" t="s">
        <v>1464</v>
      </c>
      <c r="BN173" t="s">
        <v>2643</v>
      </c>
      <c r="BO173">
        <v>37963948</v>
      </c>
      <c r="BP173" t="s">
        <v>1466</v>
      </c>
      <c r="BQ173" t="s">
        <v>74</v>
      </c>
      <c r="BR173" t="s">
        <v>74</v>
      </c>
      <c r="BS173" t="s">
        <v>86</v>
      </c>
      <c r="BT173" t="s">
        <v>2644</v>
      </c>
      <c r="BU173" t="s">
        <v>3164</v>
      </c>
    </row>
    <row r="174" spans="1:73" ht="68" x14ac:dyDescent="0.2">
      <c r="A174" t="s">
        <v>72</v>
      </c>
      <c r="B174" t="s">
        <v>2645</v>
      </c>
      <c r="C174" t="s">
        <v>74</v>
      </c>
      <c r="D174" t="s">
        <v>74</v>
      </c>
      <c r="E174" t="s">
        <v>74</v>
      </c>
      <c r="F174" t="s">
        <v>2645</v>
      </c>
      <c r="G174" t="s">
        <v>74</v>
      </c>
      <c r="H174" t="s">
        <v>74</v>
      </c>
      <c r="I174" t="s">
        <v>2646</v>
      </c>
      <c r="J174" t="s">
        <v>2647</v>
      </c>
      <c r="K174" t="s">
        <v>74</v>
      </c>
      <c r="L174" t="s">
        <v>74</v>
      </c>
      <c r="M174" t="s">
        <v>1025</v>
      </c>
      <c r="N174" t="s">
        <v>78</v>
      </c>
      <c r="O174" t="s">
        <v>74</v>
      </c>
      <c r="P174" t="s">
        <v>74</v>
      </c>
      <c r="Q174" t="s">
        <v>74</v>
      </c>
      <c r="R174" t="s">
        <v>74</v>
      </c>
      <c r="S174" t="s">
        <v>74</v>
      </c>
      <c r="T174" t="s">
        <v>74</v>
      </c>
      <c r="U174" t="s">
        <v>74</v>
      </c>
      <c r="V174" t="b">
        <v>0</v>
      </c>
      <c r="W174" s="1" t="s">
        <v>2648</v>
      </c>
      <c r="X174" t="s">
        <v>2649</v>
      </c>
      <c r="Y174" t="s">
        <v>2650</v>
      </c>
      <c r="Z174" t="s">
        <v>2651</v>
      </c>
      <c r="AA174" t="s">
        <v>74</v>
      </c>
      <c r="AB174" t="s">
        <v>74</v>
      </c>
      <c r="AC174" t="s">
        <v>74</v>
      </c>
      <c r="AD174" t="s">
        <v>74</v>
      </c>
      <c r="AE174" t="s">
        <v>74</v>
      </c>
      <c r="AF174" t="s">
        <v>74</v>
      </c>
      <c r="AG174" t="s">
        <v>74</v>
      </c>
      <c r="AH174">
        <v>3</v>
      </c>
      <c r="AI174">
        <v>12</v>
      </c>
      <c r="AJ174">
        <v>12</v>
      </c>
      <c r="AK174">
        <v>0</v>
      </c>
      <c r="AL174">
        <v>3</v>
      </c>
      <c r="AM174" t="s">
        <v>2652</v>
      </c>
      <c r="AN174" t="s">
        <v>2653</v>
      </c>
      <c r="AO174" t="s">
        <v>2654</v>
      </c>
      <c r="AP174" t="s">
        <v>2655</v>
      </c>
      <c r="AQ174" t="s">
        <v>74</v>
      </c>
      <c r="AR174" t="s">
        <v>74</v>
      </c>
      <c r="AS174" t="s">
        <v>2656</v>
      </c>
      <c r="AT174" t="s">
        <v>2657</v>
      </c>
      <c r="AU174" t="s">
        <v>190</v>
      </c>
      <c r="AV174">
        <v>1998</v>
      </c>
      <c r="AW174">
        <v>86</v>
      </c>
      <c r="AX174">
        <v>3</v>
      </c>
      <c r="AY174">
        <v>2</v>
      </c>
      <c r="AZ174" t="s">
        <v>74</v>
      </c>
      <c r="BA174" t="s">
        <v>74</v>
      </c>
      <c r="BB174" t="s">
        <v>74</v>
      </c>
      <c r="BC174">
        <v>1288</v>
      </c>
      <c r="BD174">
        <v>1290</v>
      </c>
      <c r="BE174" t="s">
        <v>74</v>
      </c>
      <c r="BF174" t="s">
        <v>2658</v>
      </c>
      <c r="BG174" t="s">
        <v>3240</v>
      </c>
      <c r="BH174" t="s">
        <v>74</v>
      </c>
      <c r="BI174" t="s">
        <v>74</v>
      </c>
      <c r="BJ174">
        <v>3</v>
      </c>
      <c r="BK174" t="s">
        <v>2659</v>
      </c>
      <c r="BL174" t="s">
        <v>1323</v>
      </c>
      <c r="BM174" t="s">
        <v>1120</v>
      </c>
      <c r="BN174" t="s">
        <v>2660</v>
      </c>
      <c r="BO174">
        <v>9700805</v>
      </c>
      <c r="BP174" t="s">
        <v>74</v>
      </c>
      <c r="BQ174" t="s">
        <v>74</v>
      </c>
      <c r="BR174" t="s">
        <v>74</v>
      </c>
      <c r="BS174" t="s">
        <v>86</v>
      </c>
      <c r="BT174" t="s">
        <v>2661</v>
      </c>
      <c r="BU174" t="s">
        <v>3164</v>
      </c>
    </row>
    <row r="175" spans="1:73" ht="68" x14ac:dyDescent="0.2">
      <c r="A175" t="s">
        <v>72</v>
      </c>
      <c r="B175" t="s">
        <v>2662</v>
      </c>
      <c r="C175" t="s">
        <v>74</v>
      </c>
      <c r="D175" t="s">
        <v>74</v>
      </c>
      <c r="E175" t="s">
        <v>74</v>
      </c>
      <c r="F175" t="s">
        <v>2663</v>
      </c>
      <c r="G175" t="s">
        <v>74</v>
      </c>
      <c r="H175" t="s">
        <v>74</v>
      </c>
      <c r="I175" t="s">
        <v>2664</v>
      </c>
      <c r="J175" t="s">
        <v>2665</v>
      </c>
      <c r="K175" t="s">
        <v>74</v>
      </c>
      <c r="L175" t="s">
        <v>74</v>
      </c>
      <c r="M175" t="s">
        <v>1025</v>
      </c>
      <c r="N175" t="s">
        <v>78</v>
      </c>
      <c r="O175" t="s">
        <v>74</v>
      </c>
      <c r="P175" t="s">
        <v>74</v>
      </c>
      <c r="Q175" t="s">
        <v>74</v>
      </c>
      <c r="R175" t="s">
        <v>74</v>
      </c>
      <c r="S175" t="s">
        <v>74</v>
      </c>
      <c r="T175" t="s">
        <v>74</v>
      </c>
      <c r="U175" t="s">
        <v>2666</v>
      </c>
      <c r="V175" t="b">
        <v>0</v>
      </c>
      <c r="W175" s="1" t="s">
        <v>2667</v>
      </c>
      <c r="X175" t="s">
        <v>2668</v>
      </c>
      <c r="Y175" t="s">
        <v>2669</v>
      </c>
      <c r="Z175" t="s">
        <v>2670</v>
      </c>
      <c r="AA175" t="s">
        <v>2671</v>
      </c>
      <c r="AB175" t="s">
        <v>2672</v>
      </c>
      <c r="AC175" t="s">
        <v>2673</v>
      </c>
      <c r="AD175" t="s">
        <v>74</v>
      </c>
      <c r="AE175" t="s">
        <v>74</v>
      </c>
      <c r="AF175" t="s">
        <v>74</v>
      </c>
      <c r="AG175" t="s">
        <v>74</v>
      </c>
      <c r="AH175">
        <v>40</v>
      </c>
      <c r="AI175">
        <v>38</v>
      </c>
      <c r="AJ175">
        <v>43</v>
      </c>
      <c r="AK175">
        <v>0</v>
      </c>
      <c r="AL175">
        <v>25</v>
      </c>
      <c r="AM175" t="s">
        <v>2024</v>
      </c>
      <c r="AN175" t="s">
        <v>1297</v>
      </c>
      <c r="AO175" t="s">
        <v>2025</v>
      </c>
      <c r="AP175" t="s">
        <v>2674</v>
      </c>
      <c r="AQ175" t="s">
        <v>74</v>
      </c>
      <c r="AR175" t="s">
        <v>74</v>
      </c>
      <c r="AS175" t="s">
        <v>2665</v>
      </c>
      <c r="AT175" t="s">
        <v>2675</v>
      </c>
      <c r="AU175" t="s">
        <v>2676</v>
      </c>
      <c r="AV175">
        <v>2006</v>
      </c>
      <c r="AW175">
        <v>39</v>
      </c>
      <c r="AX175">
        <v>24</v>
      </c>
      <c r="AY175" t="s">
        <v>74</v>
      </c>
      <c r="AZ175" t="s">
        <v>74</v>
      </c>
      <c r="BA175" t="s">
        <v>74</v>
      </c>
      <c r="BB175" t="s">
        <v>74</v>
      </c>
      <c r="BC175">
        <v>8487</v>
      </c>
      <c r="BD175">
        <v>8491</v>
      </c>
      <c r="BE175" t="s">
        <v>74</v>
      </c>
      <c r="BF175" t="s">
        <v>2677</v>
      </c>
      <c r="BG175" t="s">
        <v>3241</v>
      </c>
      <c r="BH175" t="s">
        <v>74</v>
      </c>
      <c r="BI175" t="s">
        <v>74</v>
      </c>
      <c r="BJ175">
        <v>5</v>
      </c>
      <c r="BK175" t="s">
        <v>2070</v>
      </c>
      <c r="BL175" t="s">
        <v>1041</v>
      </c>
      <c r="BM175" t="s">
        <v>2070</v>
      </c>
      <c r="BN175" t="s">
        <v>2678</v>
      </c>
      <c r="BO175" t="s">
        <v>74</v>
      </c>
      <c r="BP175" t="s">
        <v>74</v>
      </c>
      <c r="BQ175" t="s">
        <v>74</v>
      </c>
      <c r="BR175" t="s">
        <v>74</v>
      </c>
      <c r="BS175" t="s">
        <v>86</v>
      </c>
      <c r="BT175" t="s">
        <v>2679</v>
      </c>
      <c r="BU175" t="s">
        <v>3164</v>
      </c>
    </row>
    <row r="176" spans="1:73" ht="119" x14ac:dyDescent="0.2">
      <c r="A176" t="s">
        <v>72</v>
      </c>
      <c r="B176" t="s">
        <v>2680</v>
      </c>
      <c r="C176" t="s">
        <v>74</v>
      </c>
      <c r="D176" t="s">
        <v>74</v>
      </c>
      <c r="E176" t="s">
        <v>74</v>
      </c>
      <c r="F176" t="s">
        <v>2680</v>
      </c>
      <c r="G176" t="s">
        <v>74</v>
      </c>
      <c r="H176" t="s">
        <v>74</v>
      </c>
      <c r="I176" t="s">
        <v>2681</v>
      </c>
      <c r="J176" t="s">
        <v>1484</v>
      </c>
      <c r="K176" t="s">
        <v>74</v>
      </c>
      <c r="L176" t="s">
        <v>74</v>
      </c>
      <c r="M176" t="s">
        <v>1025</v>
      </c>
      <c r="N176" t="s">
        <v>78</v>
      </c>
      <c r="O176" t="s">
        <v>74</v>
      </c>
      <c r="P176" t="s">
        <v>74</v>
      </c>
      <c r="Q176" t="s">
        <v>74</v>
      </c>
      <c r="R176" t="s">
        <v>74</v>
      </c>
      <c r="S176" t="s">
        <v>74</v>
      </c>
      <c r="T176" t="s">
        <v>2682</v>
      </c>
      <c r="U176" t="s">
        <v>2683</v>
      </c>
      <c r="V176" t="b">
        <v>0</v>
      </c>
      <c r="W176" s="1" t="s">
        <v>2684</v>
      </c>
      <c r="X176" t="s">
        <v>2685</v>
      </c>
      <c r="Y176" t="s">
        <v>2686</v>
      </c>
      <c r="Z176" t="s">
        <v>74</v>
      </c>
      <c r="AA176" t="s">
        <v>74</v>
      </c>
      <c r="AB176" t="s">
        <v>74</v>
      </c>
      <c r="AC176" t="s">
        <v>74</v>
      </c>
      <c r="AD176" t="s">
        <v>74</v>
      </c>
      <c r="AE176" t="s">
        <v>74</v>
      </c>
      <c r="AF176" t="s">
        <v>74</v>
      </c>
      <c r="AG176" t="s">
        <v>74</v>
      </c>
      <c r="AH176">
        <v>47</v>
      </c>
      <c r="AI176">
        <v>18</v>
      </c>
      <c r="AJ176">
        <v>23</v>
      </c>
      <c r="AK176">
        <v>0</v>
      </c>
      <c r="AL176">
        <v>4</v>
      </c>
      <c r="AM176" t="s">
        <v>1198</v>
      </c>
      <c r="AN176" t="s">
        <v>1199</v>
      </c>
      <c r="AO176" t="s">
        <v>1200</v>
      </c>
      <c r="AP176" t="s">
        <v>1488</v>
      </c>
      <c r="AQ176" t="s">
        <v>74</v>
      </c>
      <c r="AR176" t="s">
        <v>74</v>
      </c>
      <c r="AS176" t="s">
        <v>1490</v>
      </c>
      <c r="AT176" t="s">
        <v>1491</v>
      </c>
      <c r="AU176" t="s">
        <v>468</v>
      </c>
      <c r="AV176">
        <v>1997</v>
      </c>
      <c r="AW176">
        <v>58</v>
      </c>
      <c r="AX176">
        <v>3</v>
      </c>
      <c r="AY176" t="s">
        <v>74</v>
      </c>
      <c r="AZ176" t="s">
        <v>74</v>
      </c>
      <c r="BA176" t="s">
        <v>74</v>
      </c>
      <c r="BB176" t="s">
        <v>74</v>
      </c>
      <c r="BC176">
        <v>727</v>
      </c>
      <c r="BD176">
        <v>735</v>
      </c>
      <c r="BE176" t="s">
        <v>74</v>
      </c>
      <c r="BF176" t="s">
        <v>2687</v>
      </c>
      <c r="BG176" t="s">
        <v>3242</v>
      </c>
      <c r="BH176" t="s">
        <v>74</v>
      </c>
      <c r="BI176" t="s">
        <v>74</v>
      </c>
      <c r="BJ176">
        <v>9</v>
      </c>
      <c r="BK176" t="s">
        <v>1493</v>
      </c>
      <c r="BL176" t="s">
        <v>1041</v>
      </c>
      <c r="BM176" t="s">
        <v>1494</v>
      </c>
      <c r="BN176" t="s">
        <v>2688</v>
      </c>
      <c r="BO176">
        <v>9329066</v>
      </c>
      <c r="BP176" t="s">
        <v>74</v>
      </c>
      <c r="BQ176" t="s">
        <v>74</v>
      </c>
      <c r="BR176" t="s">
        <v>74</v>
      </c>
      <c r="BS176" t="s">
        <v>86</v>
      </c>
      <c r="BT176" t="s">
        <v>2689</v>
      </c>
      <c r="BU176" t="s">
        <v>3164</v>
      </c>
    </row>
    <row r="177" spans="1:73" ht="68" x14ac:dyDescent="0.2">
      <c r="A177" t="s">
        <v>72</v>
      </c>
      <c r="B177" t="s">
        <v>2690</v>
      </c>
      <c r="C177" t="s">
        <v>74</v>
      </c>
      <c r="D177" t="s">
        <v>74</v>
      </c>
      <c r="E177" t="s">
        <v>74</v>
      </c>
      <c r="F177" t="s">
        <v>2691</v>
      </c>
      <c r="G177" t="s">
        <v>74</v>
      </c>
      <c r="H177" t="s">
        <v>74</v>
      </c>
      <c r="I177" t="s">
        <v>2692</v>
      </c>
      <c r="J177" t="s">
        <v>2693</v>
      </c>
      <c r="K177" t="s">
        <v>74</v>
      </c>
      <c r="L177" t="s">
        <v>74</v>
      </c>
      <c r="M177" t="s">
        <v>2694</v>
      </c>
      <c r="N177" t="s">
        <v>78</v>
      </c>
      <c r="O177" t="s">
        <v>74</v>
      </c>
      <c r="P177" t="s">
        <v>74</v>
      </c>
      <c r="Q177" t="s">
        <v>74</v>
      </c>
      <c r="R177" t="s">
        <v>74</v>
      </c>
      <c r="S177" t="s">
        <v>74</v>
      </c>
      <c r="T177" t="s">
        <v>2695</v>
      </c>
      <c r="U177" t="s">
        <v>2696</v>
      </c>
      <c r="V177" t="b">
        <v>0</v>
      </c>
      <c r="W177" s="1" t="s">
        <v>2697</v>
      </c>
      <c r="X177" t="s">
        <v>2698</v>
      </c>
      <c r="Y177" t="s">
        <v>2699</v>
      </c>
      <c r="Z177" t="s">
        <v>2700</v>
      </c>
      <c r="AA177" t="s">
        <v>2701</v>
      </c>
      <c r="AB177" t="s">
        <v>74</v>
      </c>
      <c r="AC177" t="s">
        <v>74</v>
      </c>
      <c r="AD177" t="s">
        <v>74</v>
      </c>
      <c r="AE177" t="s">
        <v>74</v>
      </c>
      <c r="AF177" t="s">
        <v>74</v>
      </c>
      <c r="AG177" t="s">
        <v>74</v>
      </c>
      <c r="AH177">
        <v>20</v>
      </c>
      <c r="AI177">
        <v>0</v>
      </c>
      <c r="AJ177">
        <v>0</v>
      </c>
      <c r="AK177">
        <v>0</v>
      </c>
      <c r="AL177">
        <v>18</v>
      </c>
      <c r="AM177" t="s">
        <v>2702</v>
      </c>
      <c r="AN177" t="s">
        <v>2703</v>
      </c>
      <c r="AO177" t="s">
        <v>2704</v>
      </c>
      <c r="AP177" t="s">
        <v>2705</v>
      </c>
      <c r="AQ177" t="s">
        <v>74</v>
      </c>
      <c r="AR177" t="s">
        <v>74</v>
      </c>
      <c r="AS177" t="s">
        <v>2706</v>
      </c>
      <c r="AT177" t="s">
        <v>2707</v>
      </c>
      <c r="AU177" t="s">
        <v>190</v>
      </c>
      <c r="AV177">
        <v>2016</v>
      </c>
      <c r="AW177">
        <v>45</v>
      </c>
      <c r="AX177" t="s">
        <v>74</v>
      </c>
      <c r="AY177" t="s">
        <v>74</v>
      </c>
      <c r="AZ177">
        <v>1</v>
      </c>
      <c r="BA177" t="s">
        <v>74</v>
      </c>
      <c r="BB177" t="s">
        <v>74</v>
      </c>
      <c r="BC177">
        <v>379</v>
      </c>
      <c r="BD177">
        <v>382</v>
      </c>
      <c r="BE177" t="s">
        <v>74</v>
      </c>
      <c r="BF177" t="s">
        <v>74</v>
      </c>
      <c r="BG177" t="s">
        <v>74</v>
      </c>
      <c r="BH177" t="s">
        <v>74</v>
      </c>
      <c r="BI177" t="s">
        <v>74</v>
      </c>
      <c r="BJ177">
        <v>4</v>
      </c>
      <c r="BK177" t="s">
        <v>2708</v>
      </c>
      <c r="BL177" t="s">
        <v>1041</v>
      </c>
      <c r="BM177" t="s">
        <v>2709</v>
      </c>
      <c r="BN177" t="s">
        <v>2710</v>
      </c>
      <c r="BO177" t="s">
        <v>74</v>
      </c>
      <c r="BP177" t="s">
        <v>74</v>
      </c>
      <c r="BQ177" t="s">
        <v>74</v>
      </c>
      <c r="BR177" t="s">
        <v>74</v>
      </c>
      <c r="BS177" t="s">
        <v>86</v>
      </c>
      <c r="BT177" t="s">
        <v>2711</v>
      </c>
      <c r="BU177" t="s">
        <v>3164</v>
      </c>
    </row>
    <row r="178" spans="1:73" ht="136" x14ac:dyDescent="0.2">
      <c r="A178" t="s">
        <v>72</v>
      </c>
      <c r="B178" t="s">
        <v>2712</v>
      </c>
      <c r="C178" t="s">
        <v>74</v>
      </c>
      <c r="D178" t="s">
        <v>74</v>
      </c>
      <c r="E178" t="s">
        <v>74</v>
      </c>
      <c r="F178" t="s">
        <v>2713</v>
      </c>
      <c r="G178" t="s">
        <v>74</v>
      </c>
      <c r="H178" t="s">
        <v>74</v>
      </c>
      <c r="I178" t="s">
        <v>2714</v>
      </c>
      <c r="J178" t="s">
        <v>641</v>
      </c>
      <c r="K178" t="s">
        <v>74</v>
      </c>
      <c r="L178" t="s">
        <v>74</v>
      </c>
      <c r="M178" t="s">
        <v>1025</v>
      </c>
      <c r="N178" t="s">
        <v>78</v>
      </c>
      <c r="O178" t="s">
        <v>74</v>
      </c>
      <c r="P178" t="s">
        <v>74</v>
      </c>
      <c r="Q178" t="s">
        <v>74</v>
      </c>
      <c r="R178" t="s">
        <v>74</v>
      </c>
      <c r="S178" t="s">
        <v>74</v>
      </c>
      <c r="T178" t="s">
        <v>2715</v>
      </c>
      <c r="U178" t="s">
        <v>2716</v>
      </c>
      <c r="V178" t="b">
        <v>0</v>
      </c>
      <c r="W178" s="1" t="s">
        <v>2717</v>
      </c>
      <c r="X178" t="s">
        <v>2718</v>
      </c>
      <c r="Y178" t="s">
        <v>2719</v>
      </c>
      <c r="Z178" t="s">
        <v>2720</v>
      </c>
      <c r="AA178" t="s">
        <v>2456</v>
      </c>
      <c r="AB178" t="s">
        <v>2721</v>
      </c>
      <c r="AC178" t="s">
        <v>2722</v>
      </c>
      <c r="AD178" t="s">
        <v>74</v>
      </c>
      <c r="AE178" t="s">
        <v>74</v>
      </c>
      <c r="AF178" t="s">
        <v>74</v>
      </c>
      <c r="AG178" t="s">
        <v>74</v>
      </c>
      <c r="AH178">
        <v>7</v>
      </c>
      <c r="AI178">
        <v>30</v>
      </c>
      <c r="AJ178">
        <v>31</v>
      </c>
      <c r="AK178">
        <v>0</v>
      </c>
      <c r="AL178">
        <v>14</v>
      </c>
      <c r="AM178" t="s">
        <v>1059</v>
      </c>
      <c r="AN178" t="s">
        <v>1060</v>
      </c>
      <c r="AO178" t="s">
        <v>1061</v>
      </c>
      <c r="AP178" t="s">
        <v>1062</v>
      </c>
      <c r="AQ178" t="s">
        <v>74</v>
      </c>
      <c r="AR178" t="s">
        <v>74</v>
      </c>
      <c r="AS178" t="s">
        <v>1063</v>
      </c>
      <c r="AT178" t="s">
        <v>1064</v>
      </c>
      <c r="AU178" t="s">
        <v>425</v>
      </c>
      <c r="AV178">
        <v>2012</v>
      </c>
      <c r="AW178">
        <v>87</v>
      </c>
      <c r="AX178">
        <v>10</v>
      </c>
      <c r="AY178" t="s">
        <v>74</v>
      </c>
      <c r="AZ178" t="s">
        <v>74</v>
      </c>
      <c r="BA178" t="s">
        <v>456</v>
      </c>
      <c r="BB178" t="s">
        <v>74</v>
      </c>
      <c r="BC178">
        <v>1755</v>
      </c>
      <c r="BD178">
        <v>1759</v>
      </c>
      <c r="BE178" t="s">
        <v>74</v>
      </c>
      <c r="BF178" t="s">
        <v>2723</v>
      </c>
      <c r="BG178" t="s">
        <v>3243</v>
      </c>
      <c r="BH178" t="s">
        <v>74</v>
      </c>
      <c r="BI178" t="s">
        <v>74</v>
      </c>
      <c r="BJ178">
        <v>5</v>
      </c>
      <c r="BK178" t="s">
        <v>1066</v>
      </c>
      <c r="BL178" t="s">
        <v>1041</v>
      </c>
      <c r="BM178" t="s">
        <v>1066</v>
      </c>
      <c r="BN178" t="s">
        <v>1067</v>
      </c>
      <c r="BO178" t="s">
        <v>74</v>
      </c>
      <c r="BP178" t="s">
        <v>74</v>
      </c>
      <c r="BQ178" t="s">
        <v>74</v>
      </c>
      <c r="BR178" t="s">
        <v>74</v>
      </c>
      <c r="BS178" t="s">
        <v>86</v>
      </c>
      <c r="BT178" t="s">
        <v>2724</v>
      </c>
      <c r="BU178" t="s">
        <v>3164</v>
      </c>
    </row>
    <row r="179" spans="1:73" ht="68" x14ac:dyDescent="0.2">
      <c r="A179" t="s">
        <v>72</v>
      </c>
      <c r="B179" t="s">
        <v>2725</v>
      </c>
      <c r="C179" t="s">
        <v>74</v>
      </c>
      <c r="D179" t="s">
        <v>74</v>
      </c>
      <c r="E179" t="s">
        <v>74</v>
      </c>
      <c r="F179" t="s">
        <v>2725</v>
      </c>
      <c r="G179" t="s">
        <v>74</v>
      </c>
      <c r="H179" t="s">
        <v>74</v>
      </c>
      <c r="I179" t="s">
        <v>2726</v>
      </c>
      <c r="J179" t="s">
        <v>2727</v>
      </c>
      <c r="K179" t="s">
        <v>74</v>
      </c>
      <c r="L179" t="s">
        <v>74</v>
      </c>
      <c r="M179" t="s">
        <v>1025</v>
      </c>
      <c r="N179" t="s">
        <v>78</v>
      </c>
      <c r="O179" t="s">
        <v>74</v>
      </c>
      <c r="P179" t="s">
        <v>74</v>
      </c>
      <c r="Q179" t="s">
        <v>74</v>
      </c>
      <c r="R179" t="s">
        <v>74</v>
      </c>
      <c r="S179" t="s">
        <v>74</v>
      </c>
      <c r="T179" t="s">
        <v>74</v>
      </c>
      <c r="U179" t="s">
        <v>74</v>
      </c>
      <c r="V179" t="b">
        <v>0</v>
      </c>
      <c r="W179" s="1" t="s">
        <v>2728</v>
      </c>
      <c r="X179" t="s">
        <v>2729</v>
      </c>
      <c r="Y179" t="s">
        <v>74</v>
      </c>
      <c r="Z179" t="s">
        <v>74</v>
      </c>
      <c r="AA179" t="s">
        <v>74</v>
      </c>
      <c r="AB179" t="s">
        <v>74</v>
      </c>
      <c r="AC179" t="s">
        <v>74</v>
      </c>
      <c r="AD179" t="s">
        <v>74</v>
      </c>
      <c r="AE179" t="s">
        <v>74</v>
      </c>
      <c r="AF179" t="s">
        <v>74</v>
      </c>
      <c r="AG179" t="s">
        <v>74</v>
      </c>
      <c r="AH179">
        <v>12</v>
      </c>
      <c r="AI179">
        <v>5</v>
      </c>
      <c r="AJ179">
        <v>5</v>
      </c>
      <c r="AK179">
        <v>0</v>
      </c>
      <c r="AL179">
        <v>1</v>
      </c>
      <c r="AM179" t="s">
        <v>2730</v>
      </c>
      <c r="AN179" t="s">
        <v>2731</v>
      </c>
      <c r="AO179" t="s">
        <v>2732</v>
      </c>
      <c r="AP179" t="s">
        <v>2733</v>
      </c>
      <c r="AQ179" t="s">
        <v>74</v>
      </c>
      <c r="AR179" t="s">
        <v>74</v>
      </c>
      <c r="AS179" t="s">
        <v>2734</v>
      </c>
      <c r="AT179" t="s">
        <v>74</v>
      </c>
      <c r="AU179" t="s">
        <v>74</v>
      </c>
      <c r="AV179">
        <v>1979</v>
      </c>
      <c r="AW179">
        <v>57</v>
      </c>
      <c r="AX179">
        <v>2</v>
      </c>
      <c r="AY179" t="s">
        <v>74</v>
      </c>
      <c r="AZ179" t="s">
        <v>74</v>
      </c>
      <c r="BA179" t="s">
        <v>74</v>
      </c>
      <c r="BB179" t="s">
        <v>74</v>
      </c>
      <c r="BC179">
        <v>102</v>
      </c>
      <c r="BD179">
        <v>106</v>
      </c>
      <c r="BE179" t="s">
        <v>74</v>
      </c>
      <c r="BF179" t="s">
        <v>74</v>
      </c>
      <c r="BG179" t="s">
        <v>74</v>
      </c>
      <c r="BH179" t="s">
        <v>74</v>
      </c>
      <c r="BI179" t="s">
        <v>74</v>
      </c>
      <c r="BJ179">
        <v>5</v>
      </c>
      <c r="BK179" t="s">
        <v>2735</v>
      </c>
      <c r="BL179" t="s">
        <v>1041</v>
      </c>
      <c r="BM179" t="s">
        <v>2736</v>
      </c>
      <c r="BN179" t="s">
        <v>2737</v>
      </c>
      <c r="BO179">
        <v>449426</v>
      </c>
      <c r="BP179" t="s">
        <v>74</v>
      </c>
      <c r="BQ179" t="s">
        <v>74</v>
      </c>
      <c r="BR179" t="s">
        <v>74</v>
      </c>
      <c r="BS179" t="s">
        <v>86</v>
      </c>
      <c r="BT179" t="s">
        <v>2738</v>
      </c>
      <c r="BU179" t="s">
        <v>3164</v>
      </c>
    </row>
    <row r="180" spans="1:73" ht="68" x14ac:dyDescent="0.2">
      <c r="A180" t="s">
        <v>72</v>
      </c>
      <c r="B180" t="s">
        <v>2739</v>
      </c>
      <c r="C180" t="s">
        <v>74</v>
      </c>
      <c r="D180" t="s">
        <v>74</v>
      </c>
      <c r="E180" t="s">
        <v>74</v>
      </c>
      <c r="F180" t="s">
        <v>2739</v>
      </c>
      <c r="G180" t="s">
        <v>74</v>
      </c>
      <c r="H180" t="s">
        <v>74</v>
      </c>
      <c r="I180" t="s">
        <v>2740</v>
      </c>
      <c r="J180" t="s">
        <v>2741</v>
      </c>
      <c r="K180" t="s">
        <v>74</v>
      </c>
      <c r="L180" t="s">
        <v>74</v>
      </c>
      <c r="M180" t="s">
        <v>1025</v>
      </c>
      <c r="N180" t="s">
        <v>78</v>
      </c>
      <c r="O180" t="s">
        <v>74</v>
      </c>
      <c r="P180" t="s">
        <v>74</v>
      </c>
      <c r="Q180" t="s">
        <v>74</v>
      </c>
      <c r="R180" t="s">
        <v>74</v>
      </c>
      <c r="S180" t="s">
        <v>74</v>
      </c>
      <c r="T180" t="s">
        <v>2742</v>
      </c>
      <c r="U180" t="s">
        <v>2743</v>
      </c>
      <c r="V180" t="b">
        <v>0</v>
      </c>
      <c r="W180" s="1" t="s">
        <v>2744</v>
      </c>
      <c r="X180" t="s">
        <v>2745</v>
      </c>
      <c r="Y180" t="s">
        <v>2746</v>
      </c>
      <c r="Z180" t="s">
        <v>74</v>
      </c>
      <c r="AA180" t="s">
        <v>74</v>
      </c>
      <c r="AB180" t="s">
        <v>2747</v>
      </c>
      <c r="AC180" t="s">
        <v>2748</v>
      </c>
      <c r="AD180" t="s">
        <v>74</v>
      </c>
      <c r="AE180" t="s">
        <v>74</v>
      </c>
      <c r="AF180" t="s">
        <v>74</v>
      </c>
      <c r="AG180" t="s">
        <v>74</v>
      </c>
      <c r="AH180">
        <v>23</v>
      </c>
      <c r="AI180">
        <v>156</v>
      </c>
      <c r="AJ180">
        <v>175</v>
      </c>
      <c r="AK180">
        <v>1</v>
      </c>
      <c r="AL180">
        <v>22</v>
      </c>
      <c r="AM180" t="s">
        <v>1081</v>
      </c>
      <c r="AN180" t="s">
        <v>1034</v>
      </c>
      <c r="AO180" t="s">
        <v>1082</v>
      </c>
      <c r="AP180" t="s">
        <v>2749</v>
      </c>
      <c r="AQ180" t="s">
        <v>74</v>
      </c>
      <c r="AR180" t="s">
        <v>74</v>
      </c>
      <c r="AS180" t="s">
        <v>2750</v>
      </c>
      <c r="AT180" t="s">
        <v>2751</v>
      </c>
      <c r="AU180" t="s">
        <v>2752</v>
      </c>
      <c r="AV180">
        <v>1996</v>
      </c>
      <c r="AW180">
        <v>387</v>
      </c>
      <c r="AX180">
        <v>1</v>
      </c>
      <c r="AY180" t="s">
        <v>74</v>
      </c>
      <c r="AZ180" t="s">
        <v>74</v>
      </c>
      <c r="BA180" t="s">
        <v>74</v>
      </c>
      <c r="BB180" t="s">
        <v>74</v>
      </c>
      <c r="BC180">
        <v>89</v>
      </c>
      <c r="BD180">
        <v>93</v>
      </c>
      <c r="BE180" t="s">
        <v>74</v>
      </c>
      <c r="BF180" t="s">
        <v>2753</v>
      </c>
      <c r="BG180" t="s">
        <v>3244</v>
      </c>
      <c r="BH180" t="s">
        <v>74</v>
      </c>
      <c r="BI180" t="s">
        <v>74</v>
      </c>
      <c r="BJ180">
        <v>5</v>
      </c>
      <c r="BK180" t="s">
        <v>2754</v>
      </c>
      <c r="BL180" t="s">
        <v>1041</v>
      </c>
      <c r="BM180" t="s">
        <v>2754</v>
      </c>
      <c r="BN180" t="s">
        <v>2755</v>
      </c>
      <c r="BO180">
        <v>8654575</v>
      </c>
      <c r="BP180" t="s">
        <v>1552</v>
      </c>
      <c r="BQ180" t="s">
        <v>74</v>
      </c>
      <c r="BR180" t="s">
        <v>74</v>
      </c>
      <c r="BS180" t="s">
        <v>86</v>
      </c>
      <c r="BT180" t="s">
        <v>2756</v>
      </c>
      <c r="BU180" t="s">
        <v>3164</v>
      </c>
    </row>
    <row r="181" spans="1:73" ht="187" x14ac:dyDescent="0.2">
      <c r="A181" t="s">
        <v>72</v>
      </c>
      <c r="B181" t="s">
        <v>2757</v>
      </c>
      <c r="C181" t="s">
        <v>74</v>
      </c>
      <c r="D181" t="s">
        <v>74</v>
      </c>
      <c r="E181" t="s">
        <v>74</v>
      </c>
      <c r="F181" t="s">
        <v>2758</v>
      </c>
      <c r="G181" t="s">
        <v>74</v>
      </c>
      <c r="H181" t="s">
        <v>2759</v>
      </c>
      <c r="I181" t="s">
        <v>2760</v>
      </c>
      <c r="J181" t="s">
        <v>641</v>
      </c>
      <c r="K181" t="s">
        <v>74</v>
      </c>
      <c r="L181" t="s">
        <v>74</v>
      </c>
      <c r="M181" t="s">
        <v>1025</v>
      </c>
      <c r="N181" t="s">
        <v>78</v>
      </c>
      <c r="O181" t="s">
        <v>74</v>
      </c>
      <c r="P181" t="s">
        <v>74</v>
      </c>
      <c r="Q181" t="s">
        <v>74</v>
      </c>
      <c r="R181" t="s">
        <v>74</v>
      </c>
      <c r="S181" t="s">
        <v>74</v>
      </c>
      <c r="T181" t="s">
        <v>2761</v>
      </c>
      <c r="U181" t="s">
        <v>74</v>
      </c>
      <c r="V181" t="b">
        <v>0</v>
      </c>
      <c r="W181" s="1" t="s">
        <v>2762</v>
      </c>
      <c r="X181" t="s">
        <v>2763</v>
      </c>
      <c r="Y181" t="s">
        <v>2764</v>
      </c>
      <c r="Z181" t="s">
        <v>2765</v>
      </c>
      <c r="AA181" t="s">
        <v>2766</v>
      </c>
      <c r="AB181" t="s">
        <v>2767</v>
      </c>
      <c r="AC181" t="s">
        <v>2768</v>
      </c>
      <c r="AD181" t="s">
        <v>2769</v>
      </c>
      <c r="AE181" t="s">
        <v>2770</v>
      </c>
      <c r="AF181" t="s">
        <v>2771</v>
      </c>
      <c r="AG181" t="s">
        <v>74</v>
      </c>
      <c r="AH181">
        <v>21</v>
      </c>
      <c r="AI181">
        <v>77</v>
      </c>
      <c r="AJ181">
        <v>86</v>
      </c>
      <c r="AK181">
        <v>1</v>
      </c>
      <c r="AL181">
        <v>48</v>
      </c>
      <c r="AM181" t="s">
        <v>1059</v>
      </c>
      <c r="AN181" t="s">
        <v>1060</v>
      </c>
      <c r="AO181" t="s">
        <v>1061</v>
      </c>
      <c r="AP181" t="s">
        <v>1062</v>
      </c>
      <c r="AQ181" t="s">
        <v>1478</v>
      </c>
      <c r="AR181" t="s">
        <v>74</v>
      </c>
      <c r="AS181" t="s">
        <v>1063</v>
      </c>
      <c r="AT181" t="s">
        <v>1064</v>
      </c>
      <c r="AU181" t="s">
        <v>425</v>
      </c>
      <c r="AV181">
        <v>2012</v>
      </c>
      <c r="AW181">
        <v>87</v>
      </c>
      <c r="AX181">
        <v>10</v>
      </c>
      <c r="AY181" t="s">
        <v>74</v>
      </c>
      <c r="AZ181" t="s">
        <v>74</v>
      </c>
      <c r="BA181" t="s">
        <v>456</v>
      </c>
      <c r="BB181" t="s">
        <v>74</v>
      </c>
      <c r="BC181">
        <v>1724</v>
      </c>
      <c r="BD181">
        <v>1731</v>
      </c>
      <c r="BE181" t="s">
        <v>74</v>
      </c>
      <c r="BF181" t="s">
        <v>2772</v>
      </c>
      <c r="BG181" t="s">
        <v>3245</v>
      </c>
      <c r="BH181" t="s">
        <v>74</v>
      </c>
      <c r="BI181" t="s">
        <v>74</v>
      </c>
      <c r="BJ181">
        <v>8</v>
      </c>
      <c r="BK181" t="s">
        <v>1066</v>
      </c>
      <c r="BL181" t="s">
        <v>1041</v>
      </c>
      <c r="BM181" t="s">
        <v>1066</v>
      </c>
      <c r="BN181" t="s">
        <v>1067</v>
      </c>
      <c r="BO181" t="s">
        <v>74</v>
      </c>
      <c r="BP181" t="s">
        <v>74</v>
      </c>
      <c r="BQ181" t="s">
        <v>74</v>
      </c>
      <c r="BR181" t="s">
        <v>74</v>
      </c>
      <c r="BS181" t="s">
        <v>86</v>
      </c>
      <c r="BT181" t="s">
        <v>2773</v>
      </c>
      <c r="BU181" t="s">
        <v>3164</v>
      </c>
    </row>
    <row r="182" spans="1:73" ht="221" x14ac:dyDescent="0.2">
      <c r="A182" t="s">
        <v>72</v>
      </c>
      <c r="B182" t="s">
        <v>2774</v>
      </c>
      <c r="C182" t="s">
        <v>74</v>
      </c>
      <c r="D182" t="s">
        <v>74</v>
      </c>
      <c r="E182" t="s">
        <v>74</v>
      </c>
      <c r="F182" t="s">
        <v>2775</v>
      </c>
      <c r="G182" t="s">
        <v>74</v>
      </c>
      <c r="H182" t="s">
        <v>74</v>
      </c>
      <c r="I182" t="s">
        <v>2776</v>
      </c>
      <c r="J182" t="s">
        <v>2777</v>
      </c>
      <c r="K182" t="s">
        <v>74</v>
      </c>
      <c r="L182" t="s">
        <v>74</v>
      </c>
      <c r="M182" t="s">
        <v>1025</v>
      </c>
      <c r="N182" t="s">
        <v>78</v>
      </c>
      <c r="O182" t="s">
        <v>74</v>
      </c>
      <c r="P182" t="s">
        <v>74</v>
      </c>
      <c r="Q182" t="s">
        <v>74</v>
      </c>
      <c r="R182" t="s">
        <v>74</v>
      </c>
      <c r="S182" t="s">
        <v>74</v>
      </c>
      <c r="T182" t="s">
        <v>2778</v>
      </c>
      <c r="U182" t="s">
        <v>2779</v>
      </c>
      <c r="V182" t="b">
        <v>0</v>
      </c>
      <c r="W182" s="1" t="s">
        <v>2780</v>
      </c>
      <c r="X182" t="s">
        <v>2781</v>
      </c>
      <c r="Y182" t="s">
        <v>2782</v>
      </c>
      <c r="Z182" t="s">
        <v>2783</v>
      </c>
      <c r="AA182" t="s">
        <v>1147</v>
      </c>
      <c r="AB182" t="s">
        <v>2784</v>
      </c>
      <c r="AC182" t="s">
        <v>2785</v>
      </c>
      <c r="AD182" t="s">
        <v>2786</v>
      </c>
      <c r="AE182" t="s">
        <v>2787</v>
      </c>
      <c r="AF182" t="s">
        <v>2788</v>
      </c>
      <c r="AG182" t="s">
        <v>74</v>
      </c>
      <c r="AH182">
        <v>53</v>
      </c>
      <c r="AI182">
        <v>1</v>
      </c>
      <c r="AJ182">
        <v>1</v>
      </c>
      <c r="AK182">
        <v>0</v>
      </c>
      <c r="AL182">
        <v>1</v>
      </c>
      <c r="AM182" t="s">
        <v>1153</v>
      </c>
      <c r="AN182" t="s">
        <v>1129</v>
      </c>
      <c r="AO182" t="s">
        <v>1154</v>
      </c>
      <c r="AP182" t="s">
        <v>2789</v>
      </c>
      <c r="AQ182" t="s">
        <v>2790</v>
      </c>
      <c r="AR182" t="s">
        <v>74</v>
      </c>
      <c r="AS182" t="s">
        <v>2791</v>
      </c>
      <c r="AT182" t="s">
        <v>2792</v>
      </c>
      <c r="AU182" t="s">
        <v>190</v>
      </c>
      <c r="AV182">
        <v>2025</v>
      </c>
      <c r="AW182">
        <v>292</v>
      </c>
      <c r="AX182">
        <v>11</v>
      </c>
      <c r="AY182" t="s">
        <v>74</v>
      </c>
      <c r="AZ182" t="s">
        <v>74</v>
      </c>
      <c r="BA182" t="s">
        <v>74</v>
      </c>
      <c r="BB182" t="s">
        <v>74</v>
      </c>
      <c r="BC182">
        <v>2806</v>
      </c>
      <c r="BD182">
        <v>2822</v>
      </c>
      <c r="BE182" t="s">
        <v>74</v>
      </c>
      <c r="BF182" t="s">
        <v>2793</v>
      </c>
      <c r="BG182" t="s">
        <v>3246</v>
      </c>
      <c r="BH182" t="s">
        <v>74</v>
      </c>
      <c r="BI182" t="s">
        <v>85</v>
      </c>
      <c r="BJ182">
        <v>17</v>
      </c>
      <c r="BK182" t="s">
        <v>1408</v>
      </c>
      <c r="BL182" t="s">
        <v>1041</v>
      </c>
      <c r="BM182" t="s">
        <v>1408</v>
      </c>
      <c r="BN182" t="s">
        <v>2794</v>
      </c>
      <c r="BO182">
        <v>39995020</v>
      </c>
      <c r="BP182" t="s">
        <v>1989</v>
      </c>
      <c r="BQ182" t="s">
        <v>74</v>
      </c>
      <c r="BR182" t="s">
        <v>74</v>
      </c>
      <c r="BS182" t="s">
        <v>86</v>
      </c>
      <c r="BT182" t="s">
        <v>2795</v>
      </c>
      <c r="BU182" t="s">
        <v>3164</v>
      </c>
    </row>
    <row r="183" spans="1:73" ht="136" x14ac:dyDescent="0.2">
      <c r="A183" t="s">
        <v>72</v>
      </c>
      <c r="B183" t="s">
        <v>2796</v>
      </c>
      <c r="C183" t="s">
        <v>74</v>
      </c>
      <c r="D183" t="s">
        <v>74</v>
      </c>
      <c r="E183" t="s">
        <v>74</v>
      </c>
      <c r="F183" t="s">
        <v>2796</v>
      </c>
      <c r="G183" t="s">
        <v>74</v>
      </c>
      <c r="H183" t="s">
        <v>74</v>
      </c>
      <c r="I183" t="s">
        <v>2797</v>
      </c>
      <c r="J183" t="s">
        <v>2798</v>
      </c>
      <c r="K183" t="s">
        <v>74</v>
      </c>
      <c r="L183" t="s">
        <v>74</v>
      </c>
      <c r="M183" t="s">
        <v>1025</v>
      </c>
      <c r="N183" t="s">
        <v>452</v>
      </c>
      <c r="O183" t="s">
        <v>74</v>
      </c>
      <c r="P183" t="s">
        <v>74</v>
      </c>
      <c r="Q183" t="s">
        <v>74</v>
      </c>
      <c r="R183" t="s">
        <v>74</v>
      </c>
      <c r="S183" t="s">
        <v>74</v>
      </c>
      <c r="T183" t="s">
        <v>2799</v>
      </c>
      <c r="U183" t="s">
        <v>2800</v>
      </c>
      <c r="V183" t="b">
        <v>0</v>
      </c>
      <c r="W183" s="1" t="s">
        <v>2801</v>
      </c>
      <c r="X183" t="s">
        <v>2802</v>
      </c>
      <c r="Y183" t="s">
        <v>2803</v>
      </c>
      <c r="Z183" t="s">
        <v>2804</v>
      </c>
      <c r="AA183" t="s">
        <v>2805</v>
      </c>
      <c r="AB183" t="s">
        <v>74</v>
      </c>
      <c r="AC183" t="s">
        <v>2806</v>
      </c>
      <c r="AD183" t="s">
        <v>74</v>
      </c>
      <c r="AE183" t="s">
        <v>74</v>
      </c>
      <c r="AF183" t="s">
        <v>74</v>
      </c>
      <c r="AG183" t="s">
        <v>74</v>
      </c>
      <c r="AH183">
        <v>190</v>
      </c>
      <c r="AI183">
        <v>431</v>
      </c>
      <c r="AJ183">
        <v>503</v>
      </c>
      <c r="AK183">
        <v>0</v>
      </c>
      <c r="AL183">
        <v>70</v>
      </c>
      <c r="AM183" t="s">
        <v>2807</v>
      </c>
      <c r="AN183" t="s">
        <v>2808</v>
      </c>
      <c r="AO183" t="s">
        <v>2809</v>
      </c>
      <c r="AP183" t="s">
        <v>2810</v>
      </c>
      <c r="AQ183" t="s">
        <v>2811</v>
      </c>
      <c r="AR183" t="s">
        <v>74</v>
      </c>
      <c r="AS183" t="s">
        <v>2812</v>
      </c>
      <c r="AT183" t="s">
        <v>2813</v>
      </c>
      <c r="AU183" t="s">
        <v>74</v>
      </c>
      <c r="AV183">
        <v>2001</v>
      </c>
      <c r="AW183">
        <v>41</v>
      </c>
      <c r="AX183" t="s">
        <v>74</v>
      </c>
      <c r="AY183" t="s">
        <v>74</v>
      </c>
      <c r="AZ183" t="s">
        <v>74</v>
      </c>
      <c r="BA183" t="s">
        <v>74</v>
      </c>
      <c r="BB183" t="s">
        <v>74</v>
      </c>
      <c r="BC183">
        <v>789</v>
      </c>
      <c r="BD183">
        <v>813</v>
      </c>
      <c r="BE183" t="s">
        <v>74</v>
      </c>
      <c r="BF183" t="s">
        <v>2814</v>
      </c>
      <c r="BG183" t="s">
        <v>3247</v>
      </c>
      <c r="BH183" t="s">
        <v>74</v>
      </c>
      <c r="BI183" t="s">
        <v>74</v>
      </c>
      <c r="BJ183">
        <v>25</v>
      </c>
      <c r="BK183" t="s">
        <v>1570</v>
      </c>
      <c r="BL183" t="s">
        <v>1041</v>
      </c>
      <c r="BM183" t="s">
        <v>1570</v>
      </c>
      <c r="BN183" t="s">
        <v>2815</v>
      </c>
      <c r="BO183">
        <v>11264477</v>
      </c>
      <c r="BP183" t="s">
        <v>74</v>
      </c>
      <c r="BQ183" t="s">
        <v>74</v>
      </c>
      <c r="BR183" t="s">
        <v>74</v>
      </c>
      <c r="BS183" t="s">
        <v>86</v>
      </c>
      <c r="BT183" t="s">
        <v>2816</v>
      </c>
      <c r="BU183" t="s">
        <v>3164</v>
      </c>
    </row>
    <row r="184" spans="1:73" ht="204" x14ac:dyDescent="0.2">
      <c r="A184" t="s">
        <v>72</v>
      </c>
      <c r="B184" t="s">
        <v>2817</v>
      </c>
      <c r="C184" t="s">
        <v>74</v>
      </c>
      <c r="D184" t="s">
        <v>74</v>
      </c>
      <c r="E184" t="s">
        <v>74</v>
      </c>
      <c r="F184" t="s">
        <v>2817</v>
      </c>
      <c r="G184" t="s">
        <v>74</v>
      </c>
      <c r="H184" t="s">
        <v>74</v>
      </c>
      <c r="I184" t="s">
        <v>2818</v>
      </c>
      <c r="J184" t="s">
        <v>2819</v>
      </c>
      <c r="K184" t="s">
        <v>74</v>
      </c>
      <c r="L184" t="s">
        <v>74</v>
      </c>
      <c r="M184" t="s">
        <v>1025</v>
      </c>
      <c r="N184" t="s">
        <v>78</v>
      </c>
      <c r="O184" t="s">
        <v>74</v>
      </c>
      <c r="P184" t="s">
        <v>74</v>
      </c>
      <c r="Q184" t="s">
        <v>74</v>
      </c>
      <c r="R184" t="s">
        <v>74</v>
      </c>
      <c r="S184" t="s">
        <v>74</v>
      </c>
      <c r="T184" t="s">
        <v>74</v>
      </c>
      <c r="U184" t="s">
        <v>74</v>
      </c>
      <c r="V184" t="b">
        <v>0</v>
      </c>
      <c r="W184" s="1" t="s">
        <v>2820</v>
      </c>
      <c r="X184" t="s">
        <v>2821</v>
      </c>
      <c r="Y184" t="s">
        <v>2822</v>
      </c>
      <c r="Z184" t="s">
        <v>74</v>
      </c>
      <c r="AA184" t="s">
        <v>74</v>
      </c>
      <c r="AB184" t="s">
        <v>74</v>
      </c>
      <c r="AC184" t="s">
        <v>74</v>
      </c>
      <c r="AD184" t="s">
        <v>2823</v>
      </c>
      <c r="AE184" t="s">
        <v>2824</v>
      </c>
      <c r="AF184" t="s">
        <v>74</v>
      </c>
      <c r="AG184" t="s">
        <v>74</v>
      </c>
      <c r="AH184">
        <v>41</v>
      </c>
      <c r="AI184">
        <v>120</v>
      </c>
      <c r="AJ184">
        <v>125</v>
      </c>
      <c r="AK184">
        <v>0</v>
      </c>
      <c r="AL184">
        <v>0</v>
      </c>
      <c r="AM184" t="s">
        <v>1336</v>
      </c>
      <c r="AN184" t="s">
        <v>1337</v>
      </c>
      <c r="AO184" t="s">
        <v>1338</v>
      </c>
      <c r="AP184" t="s">
        <v>2825</v>
      </c>
      <c r="AQ184" t="s">
        <v>74</v>
      </c>
      <c r="AR184" t="s">
        <v>74</v>
      </c>
      <c r="AS184" t="s">
        <v>2826</v>
      </c>
      <c r="AT184" t="s">
        <v>2827</v>
      </c>
      <c r="AU184" t="s">
        <v>372</v>
      </c>
      <c r="AV184">
        <v>1990</v>
      </c>
      <c r="AW184">
        <v>259</v>
      </c>
      <c r="AX184">
        <v>2</v>
      </c>
      <c r="AY184">
        <v>2</v>
      </c>
      <c r="AZ184" t="s">
        <v>74</v>
      </c>
      <c r="BA184" t="s">
        <v>74</v>
      </c>
      <c r="BB184" t="s">
        <v>74</v>
      </c>
      <c r="BC184" t="s">
        <v>2828</v>
      </c>
      <c r="BD184" t="s">
        <v>2829</v>
      </c>
      <c r="BE184" t="s">
        <v>74</v>
      </c>
      <c r="BF184" t="s">
        <v>2830</v>
      </c>
      <c r="BG184" t="s">
        <v>3248</v>
      </c>
      <c r="BH184" t="s">
        <v>74</v>
      </c>
      <c r="BI184" t="s">
        <v>74</v>
      </c>
      <c r="BJ184">
        <v>7</v>
      </c>
      <c r="BK184" t="s">
        <v>1341</v>
      </c>
      <c r="BL184" t="s">
        <v>1041</v>
      </c>
      <c r="BM184" t="s">
        <v>1341</v>
      </c>
      <c r="BN184" t="s">
        <v>2831</v>
      </c>
      <c r="BO184">
        <v>2386206</v>
      </c>
      <c r="BP184" t="s">
        <v>74</v>
      </c>
      <c r="BQ184" t="s">
        <v>74</v>
      </c>
      <c r="BR184" t="s">
        <v>74</v>
      </c>
      <c r="BS184" t="s">
        <v>86</v>
      </c>
      <c r="BT184" t="s">
        <v>2832</v>
      </c>
      <c r="BU184" t="s">
        <v>3164</v>
      </c>
    </row>
    <row r="185" spans="1:73" ht="119" x14ac:dyDescent="0.2">
      <c r="A185" t="s">
        <v>72</v>
      </c>
      <c r="B185" t="s">
        <v>2833</v>
      </c>
      <c r="C185" t="s">
        <v>74</v>
      </c>
      <c r="D185" t="s">
        <v>74</v>
      </c>
      <c r="E185" t="s">
        <v>74</v>
      </c>
      <c r="F185" t="s">
        <v>2834</v>
      </c>
      <c r="G185" t="s">
        <v>74</v>
      </c>
      <c r="H185" t="s">
        <v>74</v>
      </c>
      <c r="I185" t="s">
        <v>2835</v>
      </c>
      <c r="J185" t="s">
        <v>2836</v>
      </c>
      <c r="K185" t="s">
        <v>74</v>
      </c>
      <c r="L185" t="s">
        <v>74</v>
      </c>
      <c r="M185" t="s">
        <v>1025</v>
      </c>
      <c r="N185" t="s">
        <v>78</v>
      </c>
      <c r="O185" t="s">
        <v>74</v>
      </c>
      <c r="P185" t="s">
        <v>74</v>
      </c>
      <c r="Q185" t="s">
        <v>74</v>
      </c>
      <c r="R185" t="s">
        <v>74</v>
      </c>
      <c r="S185" t="s">
        <v>74</v>
      </c>
      <c r="T185" t="s">
        <v>2837</v>
      </c>
      <c r="U185" t="s">
        <v>2838</v>
      </c>
      <c r="V185" t="b">
        <v>0</v>
      </c>
      <c r="W185" s="1" t="s">
        <v>2839</v>
      </c>
      <c r="X185" t="s">
        <v>2840</v>
      </c>
      <c r="Y185" t="s">
        <v>2841</v>
      </c>
      <c r="Z185" t="s">
        <v>2842</v>
      </c>
      <c r="AA185" t="s">
        <v>2843</v>
      </c>
      <c r="AB185" t="s">
        <v>2844</v>
      </c>
      <c r="AC185" t="s">
        <v>2845</v>
      </c>
      <c r="AD185" t="s">
        <v>2846</v>
      </c>
      <c r="AE185" t="s">
        <v>2847</v>
      </c>
      <c r="AF185" t="s">
        <v>2848</v>
      </c>
      <c r="AG185" t="s">
        <v>74</v>
      </c>
      <c r="AH185">
        <v>61</v>
      </c>
      <c r="AI185">
        <v>30</v>
      </c>
      <c r="AJ185">
        <v>31</v>
      </c>
      <c r="AK185">
        <v>6</v>
      </c>
      <c r="AL185">
        <v>163</v>
      </c>
      <c r="AM185" t="s">
        <v>2024</v>
      </c>
      <c r="AN185" t="s">
        <v>1297</v>
      </c>
      <c r="AO185" t="s">
        <v>2025</v>
      </c>
      <c r="AP185" t="s">
        <v>2849</v>
      </c>
      <c r="AQ185" t="s">
        <v>2850</v>
      </c>
      <c r="AR185" t="s">
        <v>74</v>
      </c>
      <c r="AS185" t="s">
        <v>2851</v>
      </c>
      <c r="AT185" t="s">
        <v>2852</v>
      </c>
      <c r="AU185" t="s">
        <v>2853</v>
      </c>
      <c r="AV185">
        <v>2022</v>
      </c>
      <c r="AW185">
        <v>22</v>
      </c>
      <c r="AX185">
        <v>21</v>
      </c>
      <c r="AY185" t="s">
        <v>74</v>
      </c>
      <c r="AZ185" t="s">
        <v>74</v>
      </c>
      <c r="BA185" t="s">
        <v>74</v>
      </c>
      <c r="BB185" t="s">
        <v>74</v>
      </c>
      <c r="BC185">
        <v>8509</v>
      </c>
      <c r="BD185">
        <v>8518</v>
      </c>
      <c r="BE185" t="s">
        <v>74</v>
      </c>
      <c r="BF185" t="s">
        <v>2854</v>
      </c>
      <c r="BG185" t="s">
        <v>3249</v>
      </c>
      <c r="BH185" t="s">
        <v>74</v>
      </c>
      <c r="BI185" t="s">
        <v>470</v>
      </c>
      <c r="BJ185">
        <v>10</v>
      </c>
      <c r="BK185" t="s">
        <v>2855</v>
      </c>
      <c r="BL185" t="s">
        <v>1041</v>
      </c>
      <c r="BM185" t="s">
        <v>2856</v>
      </c>
      <c r="BN185" t="s">
        <v>2857</v>
      </c>
      <c r="BO185">
        <v>36315593</v>
      </c>
      <c r="BP185" t="s">
        <v>1989</v>
      </c>
      <c r="BQ185" t="s">
        <v>74</v>
      </c>
      <c r="BR185" t="s">
        <v>74</v>
      </c>
      <c r="BS185" t="s">
        <v>86</v>
      </c>
      <c r="BT185" t="s">
        <v>2858</v>
      </c>
      <c r="BU185" t="s">
        <v>3164</v>
      </c>
    </row>
    <row r="186" spans="1:73" ht="136" x14ac:dyDescent="0.2">
      <c r="A186" t="s">
        <v>72</v>
      </c>
      <c r="B186" t="s">
        <v>2859</v>
      </c>
      <c r="C186" t="s">
        <v>74</v>
      </c>
      <c r="D186" t="s">
        <v>74</v>
      </c>
      <c r="E186" t="s">
        <v>74</v>
      </c>
      <c r="F186" t="s">
        <v>2860</v>
      </c>
      <c r="G186" t="s">
        <v>74</v>
      </c>
      <c r="H186" t="s">
        <v>74</v>
      </c>
      <c r="I186" t="s">
        <v>2861</v>
      </c>
      <c r="J186" t="s">
        <v>2862</v>
      </c>
      <c r="K186" t="s">
        <v>74</v>
      </c>
      <c r="L186" t="s">
        <v>74</v>
      </c>
      <c r="M186" t="s">
        <v>1025</v>
      </c>
      <c r="N186" t="s">
        <v>78</v>
      </c>
      <c r="O186" t="s">
        <v>74</v>
      </c>
      <c r="P186" t="s">
        <v>74</v>
      </c>
      <c r="Q186" t="s">
        <v>74</v>
      </c>
      <c r="R186" t="s">
        <v>74</v>
      </c>
      <c r="S186" t="s">
        <v>74</v>
      </c>
      <c r="T186" t="s">
        <v>2863</v>
      </c>
      <c r="U186" t="s">
        <v>2864</v>
      </c>
      <c r="V186" t="b">
        <v>0</v>
      </c>
      <c r="W186" s="1" t="s">
        <v>2865</v>
      </c>
      <c r="X186" t="s">
        <v>2866</v>
      </c>
      <c r="Y186" t="s">
        <v>2867</v>
      </c>
      <c r="Z186" t="s">
        <v>2868</v>
      </c>
      <c r="AA186" t="s">
        <v>2869</v>
      </c>
      <c r="AB186" t="s">
        <v>2870</v>
      </c>
      <c r="AC186" t="s">
        <v>2871</v>
      </c>
      <c r="AD186" t="s">
        <v>74</v>
      </c>
      <c r="AE186" t="s">
        <v>74</v>
      </c>
      <c r="AF186" t="s">
        <v>74</v>
      </c>
      <c r="AG186" t="s">
        <v>74</v>
      </c>
      <c r="AH186">
        <v>46</v>
      </c>
      <c r="AI186">
        <v>14</v>
      </c>
      <c r="AJ186">
        <v>15</v>
      </c>
      <c r="AK186">
        <v>0</v>
      </c>
      <c r="AL186">
        <v>4</v>
      </c>
      <c r="AM186" t="s">
        <v>1153</v>
      </c>
      <c r="AN186" t="s">
        <v>1129</v>
      </c>
      <c r="AO186" t="s">
        <v>1154</v>
      </c>
      <c r="AP186" t="s">
        <v>2872</v>
      </c>
      <c r="AQ186" t="s">
        <v>2873</v>
      </c>
      <c r="AR186" t="s">
        <v>74</v>
      </c>
      <c r="AS186" t="s">
        <v>2874</v>
      </c>
      <c r="AT186" t="s">
        <v>2875</v>
      </c>
      <c r="AU186" t="s">
        <v>179</v>
      </c>
      <c r="AV186">
        <v>2006</v>
      </c>
      <c r="AW186">
        <v>29</v>
      </c>
      <c r="AX186">
        <v>6</v>
      </c>
      <c r="AY186" t="s">
        <v>74</v>
      </c>
      <c r="AZ186" t="s">
        <v>74</v>
      </c>
      <c r="BA186" t="s">
        <v>74</v>
      </c>
      <c r="BB186" t="s">
        <v>74</v>
      </c>
      <c r="BC186">
        <v>576</v>
      </c>
      <c r="BD186">
        <v>582</v>
      </c>
      <c r="BE186" t="s">
        <v>74</v>
      </c>
      <c r="BF186" t="s">
        <v>2876</v>
      </c>
      <c r="BG186" t="s">
        <v>3250</v>
      </c>
      <c r="BH186" t="s">
        <v>74</v>
      </c>
      <c r="BI186" t="s">
        <v>74</v>
      </c>
      <c r="BJ186">
        <v>7</v>
      </c>
      <c r="BK186" t="s">
        <v>2877</v>
      </c>
      <c r="BL186" t="s">
        <v>1041</v>
      </c>
      <c r="BM186" t="s">
        <v>2878</v>
      </c>
      <c r="BN186" t="s">
        <v>2879</v>
      </c>
      <c r="BO186">
        <v>17121655</v>
      </c>
      <c r="BP186" t="s">
        <v>1552</v>
      </c>
      <c r="BQ186" t="s">
        <v>74</v>
      </c>
      <c r="BR186" t="s">
        <v>74</v>
      </c>
      <c r="BS186" t="s">
        <v>86</v>
      </c>
      <c r="BT186" t="s">
        <v>2880</v>
      </c>
      <c r="BU186" t="s">
        <v>3164</v>
      </c>
    </row>
    <row r="187" spans="1:73" ht="170" x14ac:dyDescent="0.2">
      <c r="A187" t="s">
        <v>72</v>
      </c>
      <c r="B187" t="s">
        <v>205</v>
      </c>
      <c r="C187" t="s">
        <v>74</v>
      </c>
      <c r="D187" t="s">
        <v>74</v>
      </c>
      <c r="E187" t="s">
        <v>74</v>
      </c>
      <c r="F187" t="s">
        <v>206</v>
      </c>
      <c r="G187" t="s">
        <v>74</v>
      </c>
      <c r="H187" t="s">
        <v>74</v>
      </c>
      <c r="I187" t="s">
        <v>207</v>
      </c>
      <c r="J187" t="s">
        <v>77</v>
      </c>
      <c r="K187" t="s">
        <v>74</v>
      </c>
      <c r="L187" t="s">
        <v>74</v>
      </c>
      <c r="M187" t="s">
        <v>1025</v>
      </c>
      <c r="N187" t="s">
        <v>78</v>
      </c>
      <c r="O187" t="s">
        <v>74</v>
      </c>
      <c r="P187" t="s">
        <v>74</v>
      </c>
      <c r="Q187" t="s">
        <v>74</v>
      </c>
      <c r="R187" t="s">
        <v>74</v>
      </c>
      <c r="S187" t="s">
        <v>74</v>
      </c>
      <c r="T187" t="s">
        <v>2881</v>
      </c>
      <c r="U187" t="s">
        <v>2882</v>
      </c>
      <c r="V187" t="b">
        <v>1</v>
      </c>
      <c r="W187" s="1" t="s">
        <v>208</v>
      </c>
      <c r="X187" t="s">
        <v>209</v>
      </c>
      <c r="Y187" t="s">
        <v>2883</v>
      </c>
      <c r="Z187" t="s">
        <v>210</v>
      </c>
      <c r="AA187" t="s">
        <v>211</v>
      </c>
      <c r="AB187" t="s">
        <v>2884</v>
      </c>
      <c r="AC187" t="s">
        <v>2885</v>
      </c>
      <c r="AD187" t="s">
        <v>2886</v>
      </c>
      <c r="AE187" t="s">
        <v>2887</v>
      </c>
      <c r="AF187" t="s">
        <v>2888</v>
      </c>
      <c r="AG187" t="s">
        <v>74</v>
      </c>
      <c r="AH187">
        <v>61</v>
      </c>
      <c r="AI187">
        <v>10</v>
      </c>
      <c r="AJ187">
        <v>10</v>
      </c>
      <c r="AK187">
        <v>9</v>
      </c>
      <c r="AL187">
        <v>63</v>
      </c>
      <c r="AM187" t="s">
        <v>1033</v>
      </c>
      <c r="AN187" t="s">
        <v>1034</v>
      </c>
      <c r="AO187" t="s">
        <v>1035</v>
      </c>
      <c r="AP187" t="s">
        <v>1036</v>
      </c>
      <c r="AQ187" t="s">
        <v>1037</v>
      </c>
      <c r="AR187" t="s">
        <v>74</v>
      </c>
      <c r="AS187" t="s">
        <v>1038</v>
      </c>
      <c r="AT187" t="s">
        <v>1039</v>
      </c>
      <c r="AU187" t="s">
        <v>108</v>
      </c>
      <c r="AV187">
        <v>2025</v>
      </c>
      <c r="AW187">
        <v>212</v>
      </c>
      <c r="AX187" t="s">
        <v>74</v>
      </c>
      <c r="AY187" t="s">
        <v>74</v>
      </c>
      <c r="AZ187" t="s">
        <v>74</v>
      </c>
      <c r="BA187" t="s">
        <v>74</v>
      </c>
      <c r="BB187" t="s">
        <v>74</v>
      </c>
      <c r="BC187" t="s">
        <v>74</v>
      </c>
      <c r="BD187" t="s">
        <v>74</v>
      </c>
      <c r="BE187">
        <v>107953</v>
      </c>
      <c r="BF187" t="s">
        <v>212</v>
      </c>
      <c r="BG187" t="s">
        <v>3251</v>
      </c>
      <c r="BH187" t="s">
        <v>74</v>
      </c>
      <c r="BI187" t="s">
        <v>213</v>
      </c>
      <c r="BJ187">
        <v>11</v>
      </c>
      <c r="BK187" t="s">
        <v>1040</v>
      </c>
      <c r="BL187" t="s">
        <v>1041</v>
      </c>
      <c r="BM187" t="s">
        <v>1042</v>
      </c>
      <c r="BN187" t="s">
        <v>2889</v>
      </c>
      <c r="BO187" t="s">
        <v>74</v>
      </c>
      <c r="BP187" t="s">
        <v>74</v>
      </c>
      <c r="BQ187" t="s">
        <v>74</v>
      </c>
      <c r="BR187" t="s">
        <v>74</v>
      </c>
      <c r="BS187" t="s">
        <v>86</v>
      </c>
      <c r="BT187" t="s">
        <v>214</v>
      </c>
      <c r="BU187" t="s">
        <v>3164</v>
      </c>
    </row>
    <row r="188" spans="1:73" ht="119" x14ac:dyDescent="0.2">
      <c r="A188" t="s">
        <v>72</v>
      </c>
      <c r="B188" t="s">
        <v>2890</v>
      </c>
      <c r="C188" t="s">
        <v>74</v>
      </c>
      <c r="D188" t="s">
        <v>74</v>
      </c>
      <c r="E188" t="s">
        <v>74</v>
      </c>
      <c r="F188" t="s">
        <v>2891</v>
      </c>
      <c r="G188" t="s">
        <v>74</v>
      </c>
      <c r="H188" t="s">
        <v>74</v>
      </c>
      <c r="I188" t="s">
        <v>2892</v>
      </c>
      <c r="J188" t="s">
        <v>2893</v>
      </c>
      <c r="K188" t="s">
        <v>74</v>
      </c>
      <c r="L188" t="s">
        <v>74</v>
      </c>
      <c r="M188" t="s">
        <v>1025</v>
      </c>
      <c r="N188" t="s">
        <v>78</v>
      </c>
      <c r="O188" t="s">
        <v>74</v>
      </c>
      <c r="P188" t="s">
        <v>74</v>
      </c>
      <c r="Q188" t="s">
        <v>74</v>
      </c>
      <c r="R188" t="s">
        <v>74</v>
      </c>
      <c r="S188" t="s">
        <v>74</v>
      </c>
      <c r="T188" t="s">
        <v>2894</v>
      </c>
      <c r="U188" t="s">
        <v>2895</v>
      </c>
      <c r="V188" t="b">
        <v>0</v>
      </c>
      <c r="W188" s="1" t="s">
        <v>2896</v>
      </c>
      <c r="X188" t="s">
        <v>2897</v>
      </c>
      <c r="Y188" t="s">
        <v>2898</v>
      </c>
      <c r="Z188" t="s">
        <v>2899</v>
      </c>
      <c r="AA188" t="s">
        <v>2900</v>
      </c>
      <c r="AB188" t="s">
        <v>74</v>
      </c>
      <c r="AC188" t="s">
        <v>74</v>
      </c>
      <c r="AD188" t="s">
        <v>2901</v>
      </c>
      <c r="AE188" t="s">
        <v>2901</v>
      </c>
      <c r="AF188" t="s">
        <v>2902</v>
      </c>
      <c r="AG188" t="s">
        <v>74</v>
      </c>
      <c r="AH188">
        <v>35</v>
      </c>
      <c r="AI188">
        <v>0</v>
      </c>
      <c r="AJ188">
        <v>0</v>
      </c>
      <c r="AK188">
        <v>0</v>
      </c>
      <c r="AL188">
        <v>0</v>
      </c>
      <c r="AM188" t="s">
        <v>1778</v>
      </c>
      <c r="AN188" t="s">
        <v>1779</v>
      </c>
      <c r="AO188" t="s">
        <v>1780</v>
      </c>
      <c r="AP188" t="s">
        <v>74</v>
      </c>
      <c r="AQ188" t="s">
        <v>2903</v>
      </c>
      <c r="AR188" t="s">
        <v>74</v>
      </c>
      <c r="AS188" t="s">
        <v>2893</v>
      </c>
      <c r="AT188" t="s">
        <v>2904</v>
      </c>
      <c r="AU188" t="s">
        <v>2905</v>
      </c>
      <c r="AV188">
        <v>2026</v>
      </c>
      <c r="AW188">
        <v>14</v>
      </c>
      <c r="AX188">
        <v>4</v>
      </c>
      <c r="AY188" t="s">
        <v>74</v>
      </c>
      <c r="AZ188" t="s">
        <v>74</v>
      </c>
      <c r="BA188" t="s">
        <v>74</v>
      </c>
      <c r="BB188" t="s">
        <v>74</v>
      </c>
      <c r="BC188" t="s">
        <v>74</v>
      </c>
      <c r="BD188" t="s">
        <v>74</v>
      </c>
      <c r="BE188">
        <v>42</v>
      </c>
      <c r="BF188" t="s">
        <v>2906</v>
      </c>
      <c r="BG188" t="s">
        <v>3252</v>
      </c>
      <c r="BH188" t="s">
        <v>74</v>
      </c>
      <c r="BI188" t="s">
        <v>2907</v>
      </c>
      <c r="BJ188">
        <v>14</v>
      </c>
      <c r="BK188" t="s">
        <v>2908</v>
      </c>
      <c r="BL188" t="s">
        <v>1822</v>
      </c>
      <c r="BM188" t="s">
        <v>2909</v>
      </c>
      <c r="BN188" t="s">
        <v>2910</v>
      </c>
      <c r="BO188" t="s">
        <v>74</v>
      </c>
      <c r="BP188" t="s">
        <v>1466</v>
      </c>
      <c r="BQ188" t="s">
        <v>74</v>
      </c>
      <c r="BR188" t="s">
        <v>74</v>
      </c>
      <c r="BS188" t="s">
        <v>86</v>
      </c>
      <c r="BT188" t="s">
        <v>2911</v>
      </c>
      <c r="BU188" t="s">
        <v>3164</v>
      </c>
    </row>
    <row r="189" spans="1:73" ht="204" x14ac:dyDescent="0.2">
      <c r="A189" t="s">
        <v>72</v>
      </c>
      <c r="B189" t="s">
        <v>2912</v>
      </c>
      <c r="C189" t="s">
        <v>74</v>
      </c>
      <c r="D189" t="s">
        <v>74</v>
      </c>
      <c r="E189" t="s">
        <v>74</v>
      </c>
      <c r="F189" t="s">
        <v>2913</v>
      </c>
      <c r="G189" t="s">
        <v>74</v>
      </c>
      <c r="H189" t="s">
        <v>74</v>
      </c>
      <c r="I189" t="s">
        <v>2914</v>
      </c>
      <c r="J189" t="s">
        <v>2915</v>
      </c>
      <c r="K189" t="s">
        <v>74</v>
      </c>
      <c r="L189" t="s">
        <v>74</v>
      </c>
      <c r="M189" t="s">
        <v>1025</v>
      </c>
      <c r="N189" t="s">
        <v>78</v>
      </c>
      <c r="O189" t="s">
        <v>74</v>
      </c>
      <c r="P189" t="s">
        <v>74</v>
      </c>
      <c r="Q189" t="s">
        <v>74</v>
      </c>
      <c r="R189" t="s">
        <v>74</v>
      </c>
      <c r="S189" t="s">
        <v>74</v>
      </c>
      <c r="T189" t="s">
        <v>74</v>
      </c>
      <c r="U189" t="s">
        <v>2916</v>
      </c>
      <c r="V189" t="b">
        <v>0</v>
      </c>
      <c r="W189" s="1" t="s">
        <v>2917</v>
      </c>
      <c r="X189" t="s">
        <v>2918</v>
      </c>
      <c r="Y189" t="s">
        <v>2919</v>
      </c>
      <c r="Z189" t="s">
        <v>2920</v>
      </c>
      <c r="AA189" t="s">
        <v>2921</v>
      </c>
      <c r="AB189" t="s">
        <v>2922</v>
      </c>
      <c r="AC189" t="s">
        <v>2923</v>
      </c>
      <c r="AD189" t="s">
        <v>2924</v>
      </c>
      <c r="AE189" t="s">
        <v>2925</v>
      </c>
      <c r="AF189" t="s">
        <v>2926</v>
      </c>
      <c r="AG189" t="s">
        <v>74</v>
      </c>
      <c r="AH189">
        <v>70</v>
      </c>
      <c r="AI189">
        <v>7</v>
      </c>
      <c r="AJ189">
        <v>7</v>
      </c>
      <c r="AK189">
        <v>5</v>
      </c>
      <c r="AL189">
        <v>33</v>
      </c>
      <c r="AM189" t="s">
        <v>2024</v>
      </c>
      <c r="AN189" t="s">
        <v>1297</v>
      </c>
      <c r="AO189" t="s">
        <v>2025</v>
      </c>
      <c r="AP189" t="s">
        <v>2927</v>
      </c>
      <c r="AQ189" t="s">
        <v>2928</v>
      </c>
      <c r="AR189" t="s">
        <v>74</v>
      </c>
      <c r="AS189" t="s">
        <v>2929</v>
      </c>
      <c r="AT189" t="s">
        <v>2930</v>
      </c>
      <c r="AU189" t="s">
        <v>2931</v>
      </c>
      <c r="AV189">
        <v>2025</v>
      </c>
      <c r="AW189">
        <v>129</v>
      </c>
      <c r="AX189">
        <v>10</v>
      </c>
      <c r="AY189" t="s">
        <v>74</v>
      </c>
      <c r="AZ189" t="s">
        <v>74</v>
      </c>
      <c r="BA189" t="s">
        <v>74</v>
      </c>
      <c r="BB189" t="s">
        <v>74</v>
      </c>
      <c r="BC189">
        <v>2730</v>
      </c>
      <c r="BD189">
        <v>2738</v>
      </c>
      <c r="BE189" t="s">
        <v>74</v>
      </c>
      <c r="BF189" t="s">
        <v>2932</v>
      </c>
      <c r="BG189" t="s">
        <v>3253</v>
      </c>
      <c r="BH189" t="s">
        <v>74</v>
      </c>
      <c r="BI189" t="s">
        <v>85</v>
      </c>
      <c r="BJ189">
        <v>9</v>
      </c>
      <c r="BK189" t="s">
        <v>2933</v>
      </c>
      <c r="BL189" t="s">
        <v>1041</v>
      </c>
      <c r="BM189" t="s">
        <v>2934</v>
      </c>
      <c r="BN189" t="s">
        <v>2935</v>
      </c>
      <c r="BO189">
        <v>40011199</v>
      </c>
      <c r="BP189" t="s">
        <v>74</v>
      </c>
      <c r="BQ189" t="s">
        <v>74</v>
      </c>
      <c r="BR189" t="s">
        <v>74</v>
      </c>
      <c r="BS189" t="s">
        <v>86</v>
      </c>
      <c r="BT189" t="s">
        <v>2936</v>
      </c>
      <c r="BU189" t="s">
        <v>3164</v>
      </c>
    </row>
    <row r="190" spans="1:73" ht="153" x14ac:dyDescent="0.2">
      <c r="A190" t="s">
        <v>72</v>
      </c>
      <c r="B190" t="s">
        <v>2937</v>
      </c>
      <c r="C190" t="s">
        <v>74</v>
      </c>
      <c r="D190" t="s">
        <v>74</v>
      </c>
      <c r="E190" t="s">
        <v>74</v>
      </c>
      <c r="F190" t="s">
        <v>2937</v>
      </c>
      <c r="G190" t="s">
        <v>74</v>
      </c>
      <c r="H190" t="s">
        <v>74</v>
      </c>
      <c r="I190" t="s">
        <v>2938</v>
      </c>
      <c r="J190" t="s">
        <v>2939</v>
      </c>
      <c r="K190" t="s">
        <v>74</v>
      </c>
      <c r="L190" t="s">
        <v>74</v>
      </c>
      <c r="M190" t="s">
        <v>1025</v>
      </c>
      <c r="N190" t="s">
        <v>78</v>
      </c>
      <c r="O190" t="s">
        <v>74</v>
      </c>
      <c r="P190" t="s">
        <v>74</v>
      </c>
      <c r="Q190" t="s">
        <v>74</v>
      </c>
      <c r="R190" t="s">
        <v>74</v>
      </c>
      <c r="S190" t="s">
        <v>74</v>
      </c>
      <c r="T190" t="s">
        <v>74</v>
      </c>
      <c r="U190" t="s">
        <v>2940</v>
      </c>
      <c r="V190" t="b">
        <v>0</v>
      </c>
      <c r="W190" s="1" t="s">
        <v>2941</v>
      </c>
      <c r="X190" t="s">
        <v>2942</v>
      </c>
      <c r="Y190" t="s">
        <v>2943</v>
      </c>
      <c r="Z190" t="s">
        <v>2944</v>
      </c>
      <c r="AA190" t="s">
        <v>74</v>
      </c>
      <c r="AB190" t="s">
        <v>2945</v>
      </c>
      <c r="AC190" t="s">
        <v>2946</v>
      </c>
      <c r="AD190" t="s">
        <v>74</v>
      </c>
      <c r="AE190" t="s">
        <v>74</v>
      </c>
      <c r="AF190" t="s">
        <v>74</v>
      </c>
      <c r="AG190" t="s">
        <v>74</v>
      </c>
      <c r="AH190">
        <v>25</v>
      </c>
      <c r="AI190">
        <v>13</v>
      </c>
      <c r="AJ190">
        <v>13</v>
      </c>
      <c r="AK190">
        <v>0</v>
      </c>
      <c r="AL190">
        <v>4</v>
      </c>
      <c r="AM190" t="s">
        <v>2162</v>
      </c>
      <c r="AN190" t="s">
        <v>1815</v>
      </c>
      <c r="AO190" t="s">
        <v>2163</v>
      </c>
      <c r="AP190" t="s">
        <v>2947</v>
      </c>
      <c r="AQ190" t="s">
        <v>74</v>
      </c>
      <c r="AR190" t="s">
        <v>74</v>
      </c>
      <c r="AS190" t="s">
        <v>2948</v>
      </c>
      <c r="AT190" t="s">
        <v>2949</v>
      </c>
      <c r="AU190" t="s">
        <v>74</v>
      </c>
      <c r="AV190">
        <v>2002</v>
      </c>
      <c r="AW190">
        <v>12</v>
      </c>
      <c r="AX190">
        <v>10</v>
      </c>
      <c r="AY190" t="s">
        <v>74</v>
      </c>
      <c r="AZ190" t="s">
        <v>74</v>
      </c>
      <c r="BA190" t="s">
        <v>74</v>
      </c>
      <c r="BB190" t="s">
        <v>74</v>
      </c>
      <c r="BC190">
        <v>2965</v>
      </c>
      <c r="BD190">
        <v>2970</v>
      </c>
      <c r="BE190" t="s">
        <v>74</v>
      </c>
      <c r="BF190" t="s">
        <v>2950</v>
      </c>
      <c r="BG190" t="s">
        <v>3254</v>
      </c>
      <c r="BH190" t="s">
        <v>74</v>
      </c>
      <c r="BI190" t="s">
        <v>74</v>
      </c>
      <c r="BJ190">
        <v>6</v>
      </c>
      <c r="BK190" t="s">
        <v>2951</v>
      </c>
      <c r="BL190" t="s">
        <v>1041</v>
      </c>
      <c r="BM190" t="s">
        <v>2952</v>
      </c>
      <c r="BN190" t="s">
        <v>2953</v>
      </c>
      <c r="BO190" t="s">
        <v>74</v>
      </c>
      <c r="BP190" t="s">
        <v>74</v>
      </c>
      <c r="BQ190" t="s">
        <v>74</v>
      </c>
      <c r="BR190" t="s">
        <v>74</v>
      </c>
      <c r="BS190" t="s">
        <v>86</v>
      </c>
      <c r="BT190" t="s">
        <v>2954</v>
      </c>
      <c r="BU190" t="s">
        <v>3164</v>
      </c>
    </row>
    <row r="191" spans="1:73" ht="85" x14ac:dyDescent="0.2">
      <c r="A191" t="s">
        <v>72</v>
      </c>
      <c r="B191" t="s">
        <v>2955</v>
      </c>
      <c r="C191" t="s">
        <v>74</v>
      </c>
      <c r="D191" t="s">
        <v>74</v>
      </c>
      <c r="E191" t="s">
        <v>74</v>
      </c>
      <c r="F191" t="s">
        <v>2956</v>
      </c>
      <c r="G191" t="s">
        <v>74</v>
      </c>
      <c r="H191" t="s">
        <v>74</v>
      </c>
      <c r="I191" t="s">
        <v>2957</v>
      </c>
      <c r="J191" t="s">
        <v>2958</v>
      </c>
      <c r="K191" t="s">
        <v>74</v>
      </c>
      <c r="L191" t="s">
        <v>74</v>
      </c>
      <c r="M191" t="s">
        <v>1025</v>
      </c>
      <c r="N191" t="s">
        <v>452</v>
      </c>
      <c r="O191" t="s">
        <v>74</v>
      </c>
      <c r="P191" t="s">
        <v>74</v>
      </c>
      <c r="Q191" t="s">
        <v>74</v>
      </c>
      <c r="R191" t="s">
        <v>74</v>
      </c>
      <c r="S191" t="s">
        <v>74</v>
      </c>
      <c r="T191" t="s">
        <v>2959</v>
      </c>
      <c r="U191" t="s">
        <v>2960</v>
      </c>
      <c r="V191" t="b">
        <v>0</v>
      </c>
      <c r="W191" s="1" t="s">
        <v>2961</v>
      </c>
      <c r="X191" t="s">
        <v>2962</v>
      </c>
      <c r="Y191" t="s">
        <v>2963</v>
      </c>
      <c r="Z191" t="s">
        <v>2964</v>
      </c>
      <c r="AA191" t="s">
        <v>2965</v>
      </c>
      <c r="AB191" t="s">
        <v>2966</v>
      </c>
      <c r="AC191" t="s">
        <v>74</v>
      </c>
      <c r="AD191" t="s">
        <v>2967</v>
      </c>
      <c r="AE191" t="s">
        <v>2968</v>
      </c>
      <c r="AF191" t="s">
        <v>2969</v>
      </c>
      <c r="AG191" t="s">
        <v>74</v>
      </c>
      <c r="AH191">
        <v>239</v>
      </c>
      <c r="AI191">
        <v>228</v>
      </c>
      <c r="AJ191">
        <v>257</v>
      </c>
      <c r="AK191">
        <v>12</v>
      </c>
      <c r="AL191">
        <v>160</v>
      </c>
      <c r="AM191" t="s">
        <v>2970</v>
      </c>
      <c r="AN191" t="s">
        <v>2971</v>
      </c>
      <c r="AO191" t="s">
        <v>2972</v>
      </c>
      <c r="AP191" t="s">
        <v>2973</v>
      </c>
      <c r="AQ191" t="s">
        <v>2974</v>
      </c>
      <c r="AR191" t="s">
        <v>74</v>
      </c>
      <c r="AS191" t="s">
        <v>2975</v>
      </c>
      <c r="AT191" t="s">
        <v>2976</v>
      </c>
      <c r="AU191" t="s">
        <v>2977</v>
      </c>
      <c r="AV191">
        <v>2021</v>
      </c>
      <c r="AW191">
        <v>38</v>
      </c>
      <c r="AX191">
        <v>9</v>
      </c>
      <c r="AY191" t="s">
        <v>74</v>
      </c>
      <c r="AZ191" t="s">
        <v>74</v>
      </c>
      <c r="BA191" t="s">
        <v>74</v>
      </c>
      <c r="BB191" t="s">
        <v>74</v>
      </c>
      <c r="BC191">
        <v>1203</v>
      </c>
      <c r="BD191">
        <v>1224</v>
      </c>
      <c r="BE191" t="s">
        <v>74</v>
      </c>
      <c r="BF191" t="s">
        <v>2978</v>
      </c>
      <c r="BG191" t="s">
        <v>3255</v>
      </c>
      <c r="BH191" t="s">
        <v>74</v>
      </c>
      <c r="BI191" t="s">
        <v>309</v>
      </c>
      <c r="BJ191">
        <v>22</v>
      </c>
      <c r="BK191" t="s">
        <v>2979</v>
      </c>
      <c r="BL191" t="s">
        <v>1041</v>
      </c>
      <c r="BM191" t="s">
        <v>2980</v>
      </c>
      <c r="BN191" t="s">
        <v>2981</v>
      </c>
      <c r="BO191">
        <v>33292072</v>
      </c>
      <c r="BP191" t="s">
        <v>74</v>
      </c>
      <c r="BQ191" t="s">
        <v>98</v>
      </c>
      <c r="BR191" t="s">
        <v>636</v>
      </c>
      <c r="BS191" t="s">
        <v>86</v>
      </c>
      <c r="BT191" t="s">
        <v>2982</v>
      </c>
      <c r="BU191" t="s">
        <v>3164</v>
      </c>
    </row>
    <row r="192" spans="1:73" ht="102" x14ac:dyDescent="0.2">
      <c r="A192" t="s">
        <v>72</v>
      </c>
      <c r="B192" t="s">
        <v>2983</v>
      </c>
      <c r="C192" t="s">
        <v>74</v>
      </c>
      <c r="D192" t="s">
        <v>74</v>
      </c>
      <c r="E192" t="s">
        <v>74</v>
      </c>
      <c r="F192" t="s">
        <v>2983</v>
      </c>
      <c r="G192" t="s">
        <v>74</v>
      </c>
      <c r="H192" t="s">
        <v>74</v>
      </c>
      <c r="I192" t="s">
        <v>2984</v>
      </c>
      <c r="J192" t="s">
        <v>2985</v>
      </c>
      <c r="K192" t="s">
        <v>74</v>
      </c>
      <c r="L192" t="s">
        <v>74</v>
      </c>
      <c r="M192" t="s">
        <v>1025</v>
      </c>
      <c r="N192" t="s">
        <v>337</v>
      </c>
      <c r="O192" t="s">
        <v>2986</v>
      </c>
      <c r="P192" t="s">
        <v>2987</v>
      </c>
      <c r="Q192" t="s">
        <v>2988</v>
      </c>
      <c r="R192" t="s">
        <v>74</v>
      </c>
      <c r="S192" t="s">
        <v>74</v>
      </c>
      <c r="T192" t="s">
        <v>2989</v>
      </c>
      <c r="U192" t="s">
        <v>2990</v>
      </c>
      <c r="V192" t="b">
        <v>0</v>
      </c>
      <c r="W192" s="1" t="s">
        <v>2991</v>
      </c>
      <c r="X192" t="s">
        <v>2992</v>
      </c>
      <c r="Y192" t="s">
        <v>2993</v>
      </c>
      <c r="Z192" t="s">
        <v>2994</v>
      </c>
      <c r="AA192" t="s">
        <v>74</v>
      </c>
      <c r="AB192" t="s">
        <v>2995</v>
      </c>
      <c r="AC192" t="s">
        <v>2996</v>
      </c>
      <c r="AD192" t="s">
        <v>74</v>
      </c>
      <c r="AE192" t="s">
        <v>74</v>
      </c>
      <c r="AF192" t="s">
        <v>74</v>
      </c>
      <c r="AG192" t="s">
        <v>74</v>
      </c>
      <c r="AH192">
        <v>16</v>
      </c>
      <c r="AI192">
        <v>62</v>
      </c>
      <c r="AJ192">
        <v>66</v>
      </c>
      <c r="AK192">
        <v>0</v>
      </c>
      <c r="AL192">
        <v>19</v>
      </c>
      <c r="AM192" t="s">
        <v>1059</v>
      </c>
      <c r="AN192" t="s">
        <v>1060</v>
      </c>
      <c r="AO192" t="s">
        <v>1061</v>
      </c>
      <c r="AP192" t="s">
        <v>2997</v>
      </c>
      <c r="AQ192" t="s">
        <v>74</v>
      </c>
      <c r="AR192" t="s">
        <v>74</v>
      </c>
      <c r="AS192" t="s">
        <v>2998</v>
      </c>
      <c r="AT192" t="s">
        <v>2999</v>
      </c>
      <c r="AU192" t="s">
        <v>155</v>
      </c>
      <c r="AV192">
        <v>2000</v>
      </c>
      <c r="AW192">
        <v>90</v>
      </c>
      <c r="AX192">
        <v>1</v>
      </c>
      <c r="AY192" t="s">
        <v>74</v>
      </c>
      <c r="AZ192" t="s">
        <v>74</v>
      </c>
      <c r="BA192" t="s">
        <v>74</v>
      </c>
      <c r="BB192" t="s">
        <v>74</v>
      </c>
      <c r="BC192">
        <v>103</v>
      </c>
      <c r="BD192">
        <v>108</v>
      </c>
      <c r="BE192" t="s">
        <v>74</v>
      </c>
      <c r="BF192" t="s">
        <v>3000</v>
      </c>
      <c r="BG192" t="s">
        <v>3256</v>
      </c>
      <c r="BH192" t="s">
        <v>74</v>
      </c>
      <c r="BI192" t="s">
        <v>74</v>
      </c>
      <c r="BJ192">
        <v>6</v>
      </c>
      <c r="BK192" t="s">
        <v>3001</v>
      </c>
      <c r="BL192" t="s">
        <v>1409</v>
      </c>
      <c r="BM192" t="s">
        <v>3002</v>
      </c>
      <c r="BN192" t="s">
        <v>3003</v>
      </c>
      <c r="BO192" t="s">
        <v>74</v>
      </c>
      <c r="BP192" t="s">
        <v>74</v>
      </c>
      <c r="BQ192" t="s">
        <v>74</v>
      </c>
      <c r="BR192" t="s">
        <v>74</v>
      </c>
      <c r="BS192" t="s">
        <v>86</v>
      </c>
      <c r="BT192" t="s">
        <v>3004</v>
      </c>
      <c r="BU192" t="s">
        <v>3164</v>
      </c>
    </row>
    <row r="193" spans="1:73" ht="34" x14ac:dyDescent="0.2">
      <c r="A193" t="s">
        <v>72</v>
      </c>
      <c r="B193" t="s">
        <v>3005</v>
      </c>
      <c r="C193" t="s">
        <v>74</v>
      </c>
      <c r="D193" t="s">
        <v>74</v>
      </c>
      <c r="E193" t="s">
        <v>74</v>
      </c>
      <c r="F193" t="s">
        <v>3005</v>
      </c>
      <c r="G193" t="s">
        <v>74</v>
      </c>
      <c r="H193" t="s">
        <v>74</v>
      </c>
      <c r="I193" t="s">
        <v>3006</v>
      </c>
      <c r="J193" t="s">
        <v>3007</v>
      </c>
      <c r="K193" t="s">
        <v>74</v>
      </c>
      <c r="L193" t="s">
        <v>74</v>
      </c>
      <c r="M193" t="s">
        <v>1025</v>
      </c>
      <c r="N193" t="s">
        <v>78</v>
      </c>
      <c r="O193" t="s">
        <v>74</v>
      </c>
      <c r="P193" t="s">
        <v>74</v>
      </c>
      <c r="Q193" t="s">
        <v>74</v>
      </c>
      <c r="R193" t="s">
        <v>74</v>
      </c>
      <c r="S193" t="s">
        <v>74</v>
      </c>
      <c r="T193" t="s">
        <v>74</v>
      </c>
      <c r="U193" t="s">
        <v>74</v>
      </c>
      <c r="V193" t="b">
        <v>0</v>
      </c>
      <c r="W193" s="1" t="s">
        <v>3008</v>
      </c>
      <c r="X193" t="s">
        <v>3009</v>
      </c>
      <c r="Y193" t="s">
        <v>3010</v>
      </c>
      <c r="Z193" t="s">
        <v>74</v>
      </c>
      <c r="AA193" t="s">
        <v>74</v>
      </c>
      <c r="AB193" t="s">
        <v>74</v>
      </c>
      <c r="AC193" t="s">
        <v>74</v>
      </c>
      <c r="AD193" t="s">
        <v>74</v>
      </c>
      <c r="AE193" t="s">
        <v>74</v>
      </c>
      <c r="AF193" t="s">
        <v>74</v>
      </c>
      <c r="AG193" t="s">
        <v>74</v>
      </c>
      <c r="AH193">
        <v>8</v>
      </c>
      <c r="AI193">
        <v>4</v>
      </c>
      <c r="AJ193">
        <v>4</v>
      </c>
      <c r="AK193">
        <v>0</v>
      </c>
      <c r="AL193">
        <v>0</v>
      </c>
      <c r="AM193" t="s">
        <v>1955</v>
      </c>
      <c r="AN193" t="s">
        <v>1956</v>
      </c>
      <c r="AO193" t="s">
        <v>1957</v>
      </c>
      <c r="AP193" t="s">
        <v>3011</v>
      </c>
      <c r="AQ193" t="s">
        <v>3012</v>
      </c>
      <c r="AR193" t="s">
        <v>74</v>
      </c>
      <c r="AS193" t="s">
        <v>3013</v>
      </c>
      <c r="AT193" t="s">
        <v>3014</v>
      </c>
      <c r="AU193" t="s">
        <v>74</v>
      </c>
      <c r="AV193">
        <v>1978</v>
      </c>
      <c r="AW193">
        <v>25</v>
      </c>
      <c r="AX193">
        <v>2</v>
      </c>
      <c r="AY193" t="s">
        <v>74</v>
      </c>
      <c r="AZ193" t="s">
        <v>74</v>
      </c>
      <c r="BA193" t="s">
        <v>74</v>
      </c>
      <c r="BB193" t="s">
        <v>74</v>
      </c>
      <c r="BC193">
        <v>163</v>
      </c>
      <c r="BD193">
        <v>165</v>
      </c>
      <c r="BE193" t="s">
        <v>74</v>
      </c>
      <c r="BF193" t="s">
        <v>3015</v>
      </c>
      <c r="BG193" t="s">
        <v>3257</v>
      </c>
      <c r="BH193" t="s">
        <v>74</v>
      </c>
      <c r="BI193" t="s">
        <v>74</v>
      </c>
      <c r="BJ193">
        <v>3</v>
      </c>
      <c r="BK193" t="s">
        <v>3016</v>
      </c>
      <c r="BL193" t="s">
        <v>1041</v>
      </c>
      <c r="BM193" t="s">
        <v>3016</v>
      </c>
      <c r="BN193" t="s">
        <v>3017</v>
      </c>
      <c r="BO193">
        <v>28450</v>
      </c>
      <c r="BP193" t="s">
        <v>74</v>
      </c>
      <c r="BQ193" t="s">
        <v>74</v>
      </c>
      <c r="BR193" t="s">
        <v>74</v>
      </c>
      <c r="BS193" t="s">
        <v>86</v>
      </c>
      <c r="BT193" t="s">
        <v>3018</v>
      </c>
      <c r="BU193" t="s">
        <v>3164</v>
      </c>
    </row>
    <row r="194" spans="1:73" ht="170" x14ac:dyDescent="0.2">
      <c r="A194" t="s">
        <v>72</v>
      </c>
      <c r="B194" t="s">
        <v>3019</v>
      </c>
      <c r="C194" t="s">
        <v>74</v>
      </c>
      <c r="D194" t="s">
        <v>74</v>
      </c>
      <c r="E194" t="s">
        <v>74</v>
      </c>
      <c r="F194" t="s">
        <v>3020</v>
      </c>
      <c r="G194" t="s">
        <v>74</v>
      </c>
      <c r="H194" t="s">
        <v>74</v>
      </c>
      <c r="I194" t="s">
        <v>3021</v>
      </c>
      <c r="J194" t="s">
        <v>3022</v>
      </c>
      <c r="K194" t="s">
        <v>74</v>
      </c>
      <c r="L194" t="s">
        <v>74</v>
      </c>
      <c r="M194" t="s">
        <v>1025</v>
      </c>
      <c r="N194" t="s">
        <v>78</v>
      </c>
      <c r="O194" t="s">
        <v>74</v>
      </c>
      <c r="P194" t="s">
        <v>74</v>
      </c>
      <c r="Q194" t="s">
        <v>74</v>
      </c>
      <c r="R194" t="s">
        <v>74</v>
      </c>
      <c r="S194" t="s">
        <v>74</v>
      </c>
      <c r="T194" t="s">
        <v>3023</v>
      </c>
      <c r="U194" t="s">
        <v>74</v>
      </c>
      <c r="V194" t="b">
        <v>0</v>
      </c>
      <c r="W194" s="1" t="s">
        <v>3024</v>
      </c>
      <c r="X194" t="s">
        <v>3025</v>
      </c>
      <c r="Y194" t="s">
        <v>3026</v>
      </c>
      <c r="Z194" t="s">
        <v>3027</v>
      </c>
      <c r="AA194" t="s">
        <v>3028</v>
      </c>
      <c r="AB194" t="s">
        <v>3029</v>
      </c>
      <c r="AC194" t="s">
        <v>74</v>
      </c>
      <c r="AD194" t="s">
        <v>3030</v>
      </c>
      <c r="AE194" t="s">
        <v>3031</v>
      </c>
      <c r="AF194" t="s">
        <v>3032</v>
      </c>
      <c r="AG194" t="s">
        <v>74</v>
      </c>
      <c r="AH194">
        <v>46</v>
      </c>
      <c r="AI194">
        <v>0</v>
      </c>
      <c r="AJ194">
        <v>0</v>
      </c>
      <c r="AK194">
        <v>19</v>
      </c>
      <c r="AL194">
        <v>19</v>
      </c>
      <c r="AM194" t="s">
        <v>1033</v>
      </c>
      <c r="AN194" t="s">
        <v>1034</v>
      </c>
      <c r="AO194" t="s">
        <v>1035</v>
      </c>
      <c r="AP194" t="s">
        <v>3033</v>
      </c>
      <c r="AQ194" t="s">
        <v>3034</v>
      </c>
      <c r="AR194" t="s">
        <v>74</v>
      </c>
      <c r="AS194" t="s">
        <v>3035</v>
      </c>
      <c r="AT194" t="s">
        <v>3036</v>
      </c>
      <c r="AU194" t="s">
        <v>2931</v>
      </c>
      <c r="AV194">
        <v>2026</v>
      </c>
      <c r="AW194">
        <v>382</v>
      </c>
      <c r="AX194" t="s">
        <v>74</v>
      </c>
      <c r="AY194">
        <v>3</v>
      </c>
      <c r="AZ194" t="s">
        <v>74</v>
      </c>
      <c r="BA194" t="s">
        <v>74</v>
      </c>
      <c r="BB194" t="s">
        <v>74</v>
      </c>
      <c r="BC194" t="s">
        <v>74</v>
      </c>
      <c r="BD194" t="s">
        <v>74</v>
      </c>
      <c r="BE194">
        <v>135992</v>
      </c>
      <c r="BF194" t="s">
        <v>3037</v>
      </c>
      <c r="BG194" t="s">
        <v>3258</v>
      </c>
      <c r="BH194" t="s">
        <v>74</v>
      </c>
      <c r="BI194" t="s">
        <v>752</v>
      </c>
      <c r="BJ194">
        <v>14</v>
      </c>
      <c r="BK194" t="s">
        <v>3038</v>
      </c>
      <c r="BL194" t="s">
        <v>1041</v>
      </c>
      <c r="BM194" t="s">
        <v>3039</v>
      </c>
      <c r="BN194" t="s">
        <v>3040</v>
      </c>
      <c r="BO194" t="s">
        <v>74</v>
      </c>
      <c r="BP194" t="s">
        <v>74</v>
      </c>
      <c r="BQ194" t="s">
        <v>74</v>
      </c>
      <c r="BR194" t="s">
        <v>74</v>
      </c>
      <c r="BS194" t="s">
        <v>86</v>
      </c>
      <c r="BT194" t="s">
        <v>3041</v>
      </c>
      <c r="BU194" t="s">
        <v>3164</v>
      </c>
    </row>
    <row r="195" spans="1:73" ht="204" x14ac:dyDescent="0.2">
      <c r="A195" t="s">
        <v>72</v>
      </c>
      <c r="B195" t="s">
        <v>375</v>
      </c>
      <c r="C195" t="s">
        <v>74</v>
      </c>
      <c r="D195" t="s">
        <v>74</v>
      </c>
      <c r="E195" t="s">
        <v>74</v>
      </c>
      <c r="F195" t="s">
        <v>376</v>
      </c>
      <c r="G195" t="s">
        <v>74</v>
      </c>
      <c r="H195" t="s">
        <v>74</v>
      </c>
      <c r="I195" t="s">
        <v>377</v>
      </c>
      <c r="J195" t="s">
        <v>378</v>
      </c>
      <c r="K195" t="s">
        <v>74</v>
      </c>
      <c r="L195" t="s">
        <v>74</v>
      </c>
      <c r="M195" t="s">
        <v>1025</v>
      </c>
      <c r="N195" t="s">
        <v>78</v>
      </c>
      <c r="O195" t="s">
        <v>74</v>
      </c>
      <c r="P195" t="s">
        <v>74</v>
      </c>
      <c r="Q195" t="s">
        <v>74</v>
      </c>
      <c r="R195" t="s">
        <v>74</v>
      </c>
      <c r="S195" t="s">
        <v>74</v>
      </c>
      <c r="T195" t="s">
        <v>3042</v>
      </c>
      <c r="U195" t="s">
        <v>3043</v>
      </c>
      <c r="V195" t="b">
        <v>0</v>
      </c>
      <c r="W195" s="1" t="s">
        <v>379</v>
      </c>
      <c r="X195" t="s">
        <v>380</v>
      </c>
      <c r="Y195" t="s">
        <v>3044</v>
      </c>
      <c r="Z195" t="s">
        <v>381</v>
      </c>
      <c r="AA195" t="s">
        <v>382</v>
      </c>
      <c r="AB195" t="s">
        <v>3045</v>
      </c>
      <c r="AC195" t="s">
        <v>3046</v>
      </c>
      <c r="AD195" t="s">
        <v>3047</v>
      </c>
      <c r="AE195" t="s">
        <v>3048</v>
      </c>
      <c r="AF195" t="s">
        <v>3049</v>
      </c>
      <c r="AG195" t="s">
        <v>74</v>
      </c>
      <c r="AH195">
        <v>45</v>
      </c>
      <c r="AI195">
        <v>0</v>
      </c>
      <c r="AJ195">
        <v>0</v>
      </c>
      <c r="AK195">
        <v>21</v>
      </c>
      <c r="AL195">
        <v>25</v>
      </c>
      <c r="AM195" t="s">
        <v>1033</v>
      </c>
      <c r="AN195" t="s">
        <v>1034</v>
      </c>
      <c r="AO195" t="s">
        <v>1035</v>
      </c>
      <c r="AP195" t="s">
        <v>3050</v>
      </c>
      <c r="AQ195" t="s">
        <v>3051</v>
      </c>
      <c r="AR195" t="s">
        <v>74</v>
      </c>
      <c r="AS195" t="s">
        <v>3052</v>
      </c>
      <c r="AT195" t="s">
        <v>3053</v>
      </c>
      <c r="AU195" t="s">
        <v>179</v>
      </c>
      <c r="AV195">
        <v>2025</v>
      </c>
      <c r="AW195">
        <v>289</v>
      </c>
      <c r="AX195" t="s">
        <v>74</v>
      </c>
      <c r="AY195" t="s">
        <v>74</v>
      </c>
      <c r="AZ195" t="s">
        <v>74</v>
      </c>
      <c r="BA195" t="s">
        <v>74</v>
      </c>
      <c r="BB195" t="s">
        <v>74</v>
      </c>
      <c r="BC195" t="s">
        <v>74</v>
      </c>
      <c r="BD195" t="s">
        <v>74</v>
      </c>
      <c r="BE195">
        <v>107596</v>
      </c>
      <c r="BF195" t="s">
        <v>383</v>
      </c>
      <c r="BG195" t="s">
        <v>3259</v>
      </c>
      <c r="BH195" t="s">
        <v>74</v>
      </c>
      <c r="BI195" t="s">
        <v>384</v>
      </c>
      <c r="BJ195">
        <v>8</v>
      </c>
      <c r="BK195" t="s">
        <v>3054</v>
      </c>
      <c r="BL195" t="s">
        <v>1041</v>
      </c>
      <c r="BM195" t="s">
        <v>3054</v>
      </c>
      <c r="BN195" t="s">
        <v>3055</v>
      </c>
      <c r="BO195">
        <v>41075618</v>
      </c>
      <c r="BP195" t="s">
        <v>74</v>
      </c>
      <c r="BQ195" t="s">
        <v>74</v>
      </c>
      <c r="BR195" t="s">
        <v>74</v>
      </c>
      <c r="BS195" t="s">
        <v>86</v>
      </c>
      <c r="BT195" t="s">
        <v>385</v>
      </c>
      <c r="BU195" t="s">
        <v>3164</v>
      </c>
    </row>
    <row r="196" spans="1:73" ht="136" x14ac:dyDescent="0.2">
      <c r="A196" t="s">
        <v>72</v>
      </c>
      <c r="B196" t="s">
        <v>3056</v>
      </c>
      <c r="C196" t="s">
        <v>74</v>
      </c>
      <c r="D196" t="s">
        <v>74</v>
      </c>
      <c r="E196" t="s">
        <v>74</v>
      </c>
      <c r="F196" t="s">
        <v>3056</v>
      </c>
      <c r="G196" t="s">
        <v>74</v>
      </c>
      <c r="H196" t="s">
        <v>74</v>
      </c>
      <c r="I196" t="s">
        <v>3057</v>
      </c>
      <c r="J196" t="s">
        <v>3058</v>
      </c>
      <c r="K196" t="s">
        <v>74</v>
      </c>
      <c r="L196" t="s">
        <v>74</v>
      </c>
      <c r="M196" t="s">
        <v>1025</v>
      </c>
      <c r="N196" t="s">
        <v>78</v>
      </c>
      <c r="O196" t="s">
        <v>74</v>
      </c>
      <c r="P196" t="s">
        <v>74</v>
      </c>
      <c r="Q196" t="s">
        <v>74</v>
      </c>
      <c r="R196" t="s">
        <v>74</v>
      </c>
      <c r="S196" t="s">
        <v>74</v>
      </c>
      <c r="T196" t="s">
        <v>3059</v>
      </c>
      <c r="U196" t="s">
        <v>1048</v>
      </c>
      <c r="V196" t="b">
        <v>0</v>
      </c>
      <c r="W196" s="1" t="s">
        <v>3060</v>
      </c>
      <c r="X196" t="s">
        <v>3061</v>
      </c>
      <c r="Y196" t="s">
        <v>74</v>
      </c>
      <c r="Z196" t="s">
        <v>3062</v>
      </c>
      <c r="AA196" t="s">
        <v>3063</v>
      </c>
      <c r="AB196" t="s">
        <v>3064</v>
      </c>
      <c r="AC196" t="s">
        <v>3065</v>
      </c>
      <c r="AD196" t="s">
        <v>74</v>
      </c>
      <c r="AE196" t="s">
        <v>74</v>
      </c>
      <c r="AF196" t="s">
        <v>74</v>
      </c>
      <c r="AG196" t="s">
        <v>74</v>
      </c>
      <c r="AH196">
        <v>13</v>
      </c>
      <c r="AI196">
        <v>17</v>
      </c>
      <c r="AJ196">
        <v>19</v>
      </c>
      <c r="AK196">
        <v>0</v>
      </c>
      <c r="AL196">
        <v>12</v>
      </c>
      <c r="AM196" t="s">
        <v>3066</v>
      </c>
      <c r="AN196" t="s">
        <v>1589</v>
      </c>
      <c r="AO196" t="s">
        <v>1590</v>
      </c>
      <c r="AP196" t="s">
        <v>3067</v>
      </c>
      <c r="AQ196" t="s">
        <v>3068</v>
      </c>
      <c r="AR196" t="s">
        <v>74</v>
      </c>
      <c r="AS196" t="s">
        <v>3069</v>
      </c>
      <c r="AT196" t="s">
        <v>3070</v>
      </c>
      <c r="AU196" t="s">
        <v>190</v>
      </c>
      <c r="AV196">
        <v>2004</v>
      </c>
      <c r="AW196">
        <v>6</v>
      </c>
      <c r="AX196">
        <v>3</v>
      </c>
      <c r="AY196" t="s">
        <v>74</v>
      </c>
      <c r="AZ196" t="s">
        <v>74</v>
      </c>
      <c r="BA196" t="s">
        <v>74</v>
      </c>
      <c r="BB196" t="s">
        <v>74</v>
      </c>
      <c r="BC196">
        <v>2291</v>
      </c>
      <c r="BD196">
        <v>2295</v>
      </c>
      <c r="BE196" t="s">
        <v>74</v>
      </c>
      <c r="BF196" t="s">
        <v>3071</v>
      </c>
      <c r="BG196" t="s">
        <v>3260</v>
      </c>
      <c r="BH196" t="s">
        <v>74</v>
      </c>
      <c r="BI196" t="s">
        <v>74</v>
      </c>
      <c r="BJ196">
        <v>5</v>
      </c>
      <c r="BK196" t="s">
        <v>1704</v>
      </c>
      <c r="BL196" t="s">
        <v>1041</v>
      </c>
      <c r="BM196" t="s">
        <v>1705</v>
      </c>
      <c r="BN196" t="s">
        <v>3072</v>
      </c>
      <c r="BO196" t="s">
        <v>74</v>
      </c>
      <c r="BP196" t="s">
        <v>74</v>
      </c>
      <c r="BQ196" t="s">
        <v>74</v>
      </c>
      <c r="BR196" t="s">
        <v>74</v>
      </c>
      <c r="BS196" t="s">
        <v>86</v>
      </c>
      <c r="BT196" t="s">
        <v>3073</v>
      </c>
      <c r="BU196" t="s">
        <v>3164</v>
      </c>
    </row>
    <row r="197" spans="1:73" ht="204" x14ac:dyDescent="0.2">
      <c r="A197" t="s">
        <v>72</v>
      </c>
      <c r="B197" t="s">
        <v>3074</v>
      </c>
      <c r="C197" t="s">
        <v>74</v>
      </c>
      <c r="D197" t="s">
        <v>74</v>
      </c>
      <c r="E197" t="s">
        <v>74</v>
      </c>
      <c r="F197" t="s">
        <v>3075</v>
      </c>
      <c r="G197" t="s">
        <v>74</v>
      </c>
      <c r="H197" t="s">
        <v>74</v>
      </c>
      <c r="I197" t="s">
        <v>3076</v>
      </c>
      <c r="J197" t="s">
        <v>420</v>
      </c>
      <c r="K197" t="s">
        <v>74</v>
      </c>
      <c r="L197" t="s">
        <v>74</v>
      </c>
      <c r="M197" t="s">
        <v>1025</v>
      </c>
      <c r="N197" t="s">
        <v>78</v>
      </c>
      <c r="O197" t="s">
        <v>74</v>
      </c>
      <c r="P197" t="s">
        <v>74</v>
      </c>
      <c r="Q197" t="s">
        <v>74</v>
      </c>
      <c r="R197" t="s">
        <v>74</v>
      </c>
      <c r="S197" t="s">
        <v>74</v>
      </c>
      <c r="T197" t="s">
        <v>74</v>
      </c>
      <c r="U197" t="s">
        <v>74</v>
      </c>
      <c r="V197" t="b">
        <v>0</v>
      </c>
      <c r="W197" s="1" t="s">
        <v>3077</v>
      </c>
      <c r="X197" t="s">
        <v>3078</v>
      </c>
      <c r="Y197" t="s">
        <v>3079</v>
      </c>
      <c r="Z197" t="s">
        <v>3080</v>
      </c>
      <c r="AA197" t="s">
        <v>74</v>
      </c>
      <c r="AB197" t="s">
        <v>3081</v>
      </c>
      <c r="AC197" t="s">
        <v>3082</v>
      </c>
      <c r="AD197" t="s">
        <v>3083</v>
      </c>
      <c r="AE197" t="s">
        <v>3084</v>
      </c>
      <c r="AF197" t="s">
        <v>3085</v>
      </c>
      <c r="AG197" t="s">
        <v>74</v>
      </c>
      <c r="AH197">
        <v>2</v>
      </c>
      <c r="AI197">
        <v>44</v>
      </c>
      <c r="AJ197">
        <v>45</v>
      </c>
      <c r="AK197">
        <v>0</v>
      </c>
      <c r="AL197">
        <v>18</v>
      </c>
      <c r="AM197" t="s">
        <v>1588</v>
      </c>
      <c r="AN197" t="s">
        <v>1589</v>
      </c>
      <c r="AO197" t="s">
        <v>1590</v>
      </c>
      <c r="AP197" t="s">
        <v>3086</v>
      </c>
      <c r="AQ197" t="s">
        <v>3087</v>
      </c>
      <c r="AR197" t="s">
        <v>74</v>
      </c>
      <c r="AS197" t="s">
        <v>3088</v>
      </c>
      <c r="AT197" t="s">
        <v>3089</v>
      </c>
      <c r="AU197" t="s">
        <v>269</v>
      </c>
      <c r="AV197">
        <v>2012</v>
      </c>
      <c r="AW197">
        <v>52</v>
      </c>
      <c r="AX197">
        <v>3</v>
      </c>
      <c r="AY197" t="s">
        <v>74</v>
      </c>
      <c r="AZ197" t="s">
        <v>74</v>
      </c>
      <c r="BA197" t="s">
        <v>74</v>
      </c>
      <c r="BB197" t="s">
        <v>74</v>
      </c>
      <c r="BC197" t="s">
        <v>74</v>
      </c>
      <c r="BD197" t="s">
        <v>74</v>
      </c>
      <c r="BE197">
        <v>37001</v>
      </c>
      <c r="BF197" t="s">
        <v>3090</v>
      </c>
      <c r="BG197" t="s">
        <v>3261</v>
      </c>
      <c r="BH197" t="s">
        <v>74</v>
      </c>
      <c r="BI197" t="s">
        <v>74</v>
      </c>
      <c r="BJ197">
        <v>7</v>
      </c>
      <c r="BK197" t="s">
        <v>1704</v>
      </c>
      <c r="BL197" t="s">
        <v>1041</v>
      </c>
      <c r="BM197" t="s">
        <v>1705</v>
      </c>
      <c r="BN197" t="s">
        <v>3091</v>
      </c>
      <c r="BO197" t="s">
        <v>74</v>
      </c>
      <c r="BP197" t="s">
        <v>74</v>
      </c>
      <c r="BQ197" t="s">
        <v>74</v>
      </c>
      <c r="BR197" t="s">
        <v>74</v>
      </c>
      <c r="BS197" t="s">
        <v>86</v>
      </c>
      <c r="BT197" t="s">
        <v>3092</v>
      </c>
      <c r="BU197" t="s">
        <v>3164</v>
      </c>
    </row>
    <row r="198" spans="1:73" ht="68" x14ac:dyDescent="0.2">
      <c r="A198" t="s">
        <v>72</v>
      </c>
      <c r="B198" t="s">
        <v>3093</v>
      </c>
      <c r="C198" t="s">
        <v>74</v>
      </c>
      <c r="D198" t="s">
        <v>74</v>
      </c>
      <c r="E198" t="s">
        <v>74</v>
      </c>
      <c r="F198" t="s">
        <v>3093</v>
      </c>
      <c r="G198" t="s">
        <v>74</v>
      </c>
      <c r="H198" t="s">
        <v>74</v>
      </c>
      <c r="I198" t="s">
        <v>3094</v>
      </c>
      <c r="J198" t="s">
        <v>2251</v>
      </c>
      <c r="K198" t="s">
        <v>74</v>
      </c>
      <c r="L198" t="s">
        <v>74</v>
      </c>
      <c r="M198" t="s">
        <v>1025</v>
      </c>
      <c r="N198" t="s">
        <v>78</v>
      </c>
      <c r="O198" t="s">
        <v>74</v>
      </c>
      <c r="P198" t="s">
        <v>74</v>
      </c>
      <c r="Q198" t="s">
        <v>74</v>
      </c>
      <c r="R198" t="s">
        <v>74</v>
      </c>
      <c r="S198" t="s">
        <v>74</v>
      </c>
      <c r="T198" t="s">
        <v>74</v>
      </c>
      <c r="U198" t="s">
        <v>74</v>
      </c>
      <c r="V198" t="b">
        <v>0</v>
      </c>
      <c r="W198" s="1" t="s">
        <v>3095</v>
      </c>
      <c r="X198" t="s">
        <v>3096</v>
      </c>
      <c r="Y198" t="s">
        <v>74</v>
      </c>
      <c r="Z198" t="s">
        <v>74</v>
      </c>
      <c r="AA198" t="s">
        <v>74</v>
      </c>
      <c r="AB198" t="s">
        <v>74</v>
      </c>
      <c r="AC198" t="s">
        <v>74</v>
      </c>
      <c r="AD198" t="s">
        <v>74</v>
      </c>
      <c r="AE198" t="s">
        <v>74</v>
      </c>
      <c r="AF198" t="s">
        <v>74</v>
      </c>
      <c r="AG198" t="s">
        <v>74</v>
      </c>
      <c r="AH198">
        <v>27</v>
      </c>
      <c r="AI198">
        <v>29</v>
      </c>
      <c r="AJ198">
        <v>30</v>
      </c>
      <c r="AK198">
        <v>0</v>
      </c>
      <c r="AL198">
        <v>5</v>
      </c>
      <c r="AM198" t="s">
        <v>1198</v>
      </c>
      <c r="AN198" t="s">
        <v>1199</v>
      </c>
      <c r="AO198" t="s">
        <v>1200</v>
      </c>
      <c r="AP198" t="s">
        <v>2255</v>
      </c>
      <c r="AQ198" t="s">
        <v>2256</v>
      </c>
      <c r="AR198" t="s">
        <v>74</v>
      </c>
      <c r="AS198" t="s">
        <v>2257</v>
      </c>
      <c r="AT198" t="s">
        <v>2258</v>
      </c>
      <c r="AU198" t="s">
        <v>74</v>
      </c>
      <c r="AV198">
        <v>1981</v>
      </c>
      <c r="AW198">
        <v>27</v>
      </c>
      <c r="AX198">
        <v>4</v>
      </c>
      <c r="AY198" t="s">
        <v>74</v>
      </c>
      <c r="AZ198" t="s">
        <v>74</v>
      </c>
      <c r="BA198" t="s">
        <v>74</v>
      </c>
      <c r="BB198" t="s">
        <v>74</v>
      </c>
      <c r="BC198">
        <v>625</v>
      </c>
      <c r="BD198">
        <v>628</v>
      </c>
      <c r="BE198" t="s">
        <v>74</v>
      </c>
      <c r="BF198" t="s">
        <v>3097</v>
      </c>
      <c r="BG198" t="s">
        <v>3262</v>
      </c>
      <c r="BH198" t="s">
        <v>74</v>
      </c>
      <c r="BI198" t="s">
        <v>74</v>
      </c>
      <c r="BJ198">
        <v>4</v>
      </c>
      <c r="BK198" t="s">
        <v>2260</v>
      </c>
      <c r="BL198" t="s">
        <v>1041</v>
      </c>
      <c r="BM198" t="s">
        <v>2261</v>
      </c>
      <c r="BN198" t="s">
        <v>3098</v>
      </c>
      <c r="BO198">
        <v>7323165</v>
      </c>
      <c r="BP198" t="s">
        <v>74</v>
      </c>
      <c r="BQ198" t="s">
        <v>74</v>
      </c>
      <c r="BR198" t="s">
        <v>74</v>
      </c>
      <c r="BS198" t="s">
        <v>86</v>
      </c>
      <c r="BT198" t="s">
        <v>3099</v>
      </c>
      <c r="BU198" t="s">
        <v>3164</v>
      </c>
    </row>
    <row r="199" spans="1:73" ht="153" x14ac:dyDescent="0.2">
      <c r="A199" t="s">
        <v>72</v>
      </c>
      <c r="B199" t="s">
        <v>3100</v>
      </c>
      <c r="C199" t="s">
        <v>74</v>
      </c>
      <c r="D199" t="s">
        <v>74</v>
      </c>
      <c r="E199" t="s">
        <v>74</v>
      </c>
      <c r="F199" t="s">
        <v>3101</v>
      </c>
      <c r="G199" t="s">
        <v>74</v>
      </c>
      <c r="H199" t="s">
        <v>74</v>
      </c>
      <c r="I199" t="s">
        <v>3102</v>
      </c>
      <c r="J199" t="s">
        <v>641</v>
      </c>
      <c r="K199" t="s">
        <v>74</v>
      </c>
      <c r="L199" t="s">
        <v>74</v>
      </c>
      <c r="M199" t="s">
        <v>1025</v>
      </c>
      <c r="N199" t="s">
        <v>78</v>
      </c>
      <c r="O199" t="s">
        <v>74</v>
      </c>
      <c r="P199" t="s">
        <v>74</v>
      </c>
      <c r="Q199" t="s">
        <v>74</v>
      </c>
      <c r="R199" t="s">
        <v>74</v>
      </c>
      <c r="S199" t="s">
        <v>74</v>
      </c>
      <c r="T199" t="s">
        <v>3103</v>
      </c>
      <c r="U199" t="s">
        <v>3104</v>
      </c>
      <c r="V199" t="b">
        <v>0</v>
      </c>
      <c r="W199" s="1" t="s">
        <v>3105</v>
      </c>
      <c r="X199" t="s">
        <v>3106</v>
      </c>
      <c r="Y199" t="s">
        <v>3107</v>
      </c>
      <c r="Z199" t="s">
        <v>3108</v>
      </c>
      <c r="AA199" t="s">
        <v>3109</v>
      </c>
      <c r="AB199" t="s">
        <v>3110</v>
      </c>
      <c r="AC199" t="s">
        <v>3111</v>
      </c>
      <c r="AD199" t="s">
        <v>3112</v>
      </c>
      <c r="AE199" t="s">
        <v>3113</v>
      </c>
      <c r="AF199" t="s">
        <v>3114</v>
      </c>
      <c r="AG199" t="s">
        <v>74</v>
      </c>
      <c r="AH199">
        <v>19</v>
      </c>
      <c r="AI199">
        <v>11</v>
      </c>
      <c r="AJ199">
        <v>13</v>
      </c>
      <c r="AK199">
        <v>1</v>
      </c>
      <c r="AL199">
        <v>46</v>
      </c>
      <c r="AM199" t="s">
        <v>1059</v>
      </c>
      <c r="AN199" t="s">
        <v>1060</v>
      </c>
      <c r="AO199" t="s">
        <v>1061</v>
      </c>
      <c r="AP199" t="s">
        <v>1062</v>
      </c>
      <c r="AQ199" t="s">
        <v>1478</v>
      </c>
      <c r="AR199" t="s">
        <v>74</v>
      </c>
      <c r="AS199" t="s">
        <v>1063</v>
      </c>
      <c r="AT199" t="s">
        <v>1064</v>
      </c>
      <c r="AU199" t="s">
        <v>108</v>
      </c>
      <c r="AV199">
        <v>2016</v>
      </c>
      <c r="AW199">
        <v>102</v>
      </c>
      <c r="AX199" t="s">
        <v>74</v>
      </c>
      <c r="AY199" t="s">
        <v>74</v>
      </c>
      <c r="AZ199" t="s">
        <v>74</v>
      </c>
      <c r="BA199" t="s">
        <v>74</v>
      </c>
      <c r="BB199" t="s">
        <v>74</v>
      </c>
      <c r="BC199">
        <v>36</v>
      </c>
      <c r="BD199">
        <v>43</v>
      </c>
      <c r="BE199" t="s">
        <v>74</v>
      </c>
      <c r="BF199" t="s">
        <v>3115</v>
      </c>
      <c r="BG199" t="s">
        <v>3263</v>
      </c>
      <c r="BH199" t="s">
        <v>74</v>
      </c>
      <c r="BI199" t="s">
        <v>74</v>
      </c>
      <c r="BJ199">
        <v>8</v>
      </c>
      <c r="BK199" t="s">
        <v>1066</v>
      </c>
      <c r="BL199" t="s">
        <v>1041</v>
      </c>
      <c r="BM199" t="s">
        <v>1066</v>
      </c>
      <c r="BN199" t="s">
        <v>3116</v>
      </c>
      <c r="BO199" t="s">
        <v>74</v>
      </c>
      <c r="BP199" t="s">
        <v>74</v>
      </c>
      <c r="BQ199" t="s">
        <v>74</v>
      </c>
      <c r="BR199" t="s">
        <v>74</v>
      </c>
      <c r="BS199" t="s">
        <v>86</v>
      </c>
      <c r="BT199" t="s">
        <v>3117</v>
      </c>
      <c r="BU199" t="s">
        <v>3164</v>
      </c>
    </row>
    <row r="200" spans="1:73" ht="153" x14ac:dyDescent="0.2">
      <c r="A200" t="s">
        <v>72</v>
      </c>
      <c r="B200" t="s">
        <v>3118</v>
      </c>
      <c r="C200" t="s">
        <v>74</v>
      </c>
      <c r="D200" t="s">
        <v>74</v>
      </c>
      <c r="E200" t="s">
        <v>74</v>
      </c>
      <c r="F200" t="s">
        <v>3119</v>
      </c>
      <c r="G200" t="s">
        <v>74</v>
      </c>
      <c r="H200" t="s">
        <v>74</v>
      </c>
      <c r="I200" t="s">
        <v>3120</v>
      </c>
      <c r="J200" t="s">
        <v>3121</v>
      </c>
      <c r="K200" t="s">
        <v>74</v>
      </c>
      <c r="L200" t="s">
        <v>74</v>
      </c>
      <c r="M200" t="s">
        <v>1025</v>
      </c>
      <c r="N200" t="s">
        <v>78</v>
      </c>
      <c r="O200" t="s">
        <v>74</v>
      </c>
      <c r="P200" t="s">
        <v>74</v>
      </c>
      <c r="Q200" t="s">
        <v>74</v>
      </c>
      <c r="R200" t="s">
        <v>74</v>
      </c>
      <c r="S200" t="s">
        <v>74</v>
      </c>
      <c r="T200" t="s">
        <v>3122</v>
      </c>
      <c r="U200" t="s">
        <v>3123</v>
      </c>
      <c r="V200" t="b">
        <v>0</v>
      </c>
      <c r="W200" s="1" t="s">
        <v>3124</v>
      </c>
      <c r="X200" t="s">
        <v>3125</v>
      </c>
      <c r="Y200" t="s">
        <v>3126</v>
      </c>
      <c r="Z200" t="s">
        <v>3127</v>
      </c>
      <c r="AA200" t="s">
        <v>3128</v>
      </c>
      <c r="AB200" t="s">
        <v>3129</v>
      </c>
      <c r="AC200" t="s">
        <v>3130</v>
      </c>
      <c r="AD200" t="s">
        <v>3131</v>
      </c>
      <c r="AE200" t="s">
        <v>3132</v>
      </c>
      <c r="AF200" t="s">
        <v>3133</v>
      </c>
      <c r="AG200" t="s">
        <v>74</v>
      </c>
      <c r="AH200">
        <v>40</v>
      </c>
      <c r="AI200">
        <v>4</v>
      </c>
      <c r="AJ200">
        <v>4</v>
      </c>
      <c r="AK200">
        <v>1</v>
      </c>
      <c r="AL200">
        <v>15</v>
      </c>
      <c r="AM200" t="s">
        <v>3134</v>
      </c>
      <c r="AN200" t="s">
        <v>1177</v>
      </c>
      <c r="AO200" t="s">
        <v>3135</v>
      </c>
      <c r="AP200" t="s">
        <v>74</v>
      </c>
      <c r="AQ200" t="s">
        <v>3136</v>
      </c>
      <c r="AR200" t="s">
        <v>74</v>
      </c>
      <c r="AS200" t="s">
        <v>3137</v>
      </c>
      <c r="AT200" t="s">
        <v>3138</v>
      </c>
      <c r="AU200" t="s">
        <v>750</v>
      </c>
      <c r="AV200">
        <v>2021</v>
      </c>
      <c r="AW200">
        <v>11</v>
      </c>
      <c r="AX200">
        <v>12</v>
      </c>
      <c r="AY200" t="s">
        <v>74</v>
      </c>
      <c r="AZ200" t="s">
        <v>74</v>
      </c>
      <c r="BA200" t="s">
        <v>74</v>
      </c>
      <c r="BB200" t="s">
        <v>74</v>
      </c>
      <c r="BC200" t="s">
        <v>74</v>
      </c>
      <c r="BD200" t="s">
        <v>74</v>
      </c>
      <c r="BE200">
        <v>210140</v>
      </c>
      <c r="BF200" t="s">
        <v>3139</v>
      </c>
      <c r="BG200" t="str">
        <f>HYPERLINK("http://dx.doi.org/10.1098/rsob.210140","http://dx.doi.org/10.1098/rsob.210140")</f>
        <v>http://dx.doi.org/10.1098/rsob.210140</v>
      </c>
      <c r="BH200" t="s">
        <v>74</v>
      </c>
      <c r="BI200" t="s">
        <v>74</v>
      </c>
      <c r="BJ200">
        <v>15</v>
      </c>
      <c r="BK200" t="s">
        <v>1408</v>
      </c>
      <c r="BL200" t="s">
        <v>1041</v>
      </c>
      <c r="BM200" t="s">
        <v>1408</v>
      </c>
      <c r="BN200" t="s">
        <v>3140</v>
      </c>
      <c r="BO200">
        <v>34905700</v>
      </c>
      <c r="BP200" t="s">
        <v>1466</v>
      </c>
      <c r="BQ200" t="s">
        <v>74</v>
      </c>
      <c r="BR200" t="s">
        <v>74</v>
      </c>
      <c r="BS200" t="s">
        <v>86</v>
      </c>
      <c r="BT200" t="s">
        <v>3141</v>
      </c>
      <c r="BU200" t="str">
        <f>HYPERLINK("https%3A%2F%2Fwww.webofscience.com%2Fwos%2Fwoscc%2Ffull-record%2FWOS:000729946100001","View Full Record in Web of Science")</f>
        <v>View Full Record in Web of Science</v>
      </c>
    </row>
    <row r="201" spans="1:73" ht="153" x14ac:dyDescent="0.2">
      <c r="A201" t="s">
        <v>72</v>
      </c>
      <c r="B201" t="s">
        <v>3142</v>
      </c>
      <c r="C201" t="s">
        <v>74</v>
      </c>
      <c r="D201" t="s">
        <v>74</v>
      </c>
      <c r="E201" t="s">
        <v>74</v>
      </c>
      <c r="F201" t="s">
        <v>3143</v>
      </c>
      <c r="G201" t="s">
        <v>74</v>
      </c>
      <c r="H201" t="s">
        <v>74</v>
      </c>
      <c r="I201" t="s">
        <v>3144</v>
      </c>
      <c r="J201" t="s">
        <v>3145</v>
      </c>
      <c r="K201" t="s">
        <v>74</v>
      </c>
      <c r="L201" t="s">
        <v>74</v>
      </c>
      <c r="M201" t="s">
        <v>1025</v>
      </c>
      <c r="N201" t="s">
        <v>78</v>
      </c>
      <c r="O201" t="s">
        <v>74</v>
      </c>
      <c r="P201" t="s">
        <v>74</v>
      </c>
      <c r="Q201" t="s">
        <v>74</v>
      </c>
      <c r="R201" t="s">
        <v>74</v>
      </c>
      <c r="S201" t="s">
        <v>74</v>
      </c>
      <c r="T201" t="s">
        <v>3146</v>
      </c>
      <c r="U201" t="s">
        <v>3147</v>
      </c>
      <c r="V201" t="b">
        <v>0</v>
      </c>
      <c r="W201" s="1" t="s">
        <v>3148</v>
      </c>
      <c r="X201" t="s">
        <v>3149</v>
      </c>
      <c r="Y201" t="s">
        <v>3150</v>
      </c>
      <c r="Z201" t="s">
        <v>3151</v>
      </c>
      <c r="AA201" t="s">
        <v>3152</v>
      </c>
      <c r="AB201" t="s">
        <v>3153</v>
      </c>
      <c r="AC201" t="s">
        <v>74</v>
      </c>
      <c r="AD201" t="s">
        <v>74</v>
      </c>
      <c r="AE201" t="s">
        <v>74</v>
      </c>
      <c r="AF201" t="s">
        <v>74</v>
      </c>
      <c r="AG201" t="s">
        <v>74</v>
      </c>
      <c r="AH201">
        <v>46</v>
      </c>
      <c r="AI201">
        <v>25</v>
      </c>
      <c r="AJ201">
        <v>29</v>
      </c>
      <c r="AK201">
        <v>0</v>
      </c>
      <c r="AL201">
        <v>4</v>
      </c>
      <c r="AM201" t="s">
        <v>3154</v>
      </c>
      <c r="AN201" t="s">
        <v>1199</v>
      </c>
      <c r="AO201" t="s">
        <v>3155</v>
      </c>
      <c r="AP201" t="s">
        <v>3156</v>
      </c>
      <c r="AQ201" t="s">
        <v>3157</v>
      </c>
      <c r="AR201" t="s">
        <v>74</v>
      </c>
      <c r="AS201" t="s">
        <v>3158</v>
      </c>
      <c r="AT201" t="s">
        <v>3159</v>
      </c>
      <c r="AU201" t="s">
        <v>190</v>
      </c>
      <c r="AV201">
        <v>2008</v>
      </c>
      <c r="AW201">
        <v>11</v>
      </c>
      <c r="AX201">
        <v>4</v>
      </c>
      <c r="AY201" t="s">
        <v>74</v>
      </c>
      <c r="AZ201" t="s">
        <v>74</v>
      </c>
      <c r="BA201" t="s">
        <v>74</v>
      </c>
      <c r="BB201" t="s">
        <v>74</v>
      </c>
      <c r="BC201">
        <v>533</v>
      </c>
      <c r="BD201">
        <v>539</v>
      </c>
      <c r="BE201" t="s">
        <v>74</v>
      </c>
      <c r="BF201" t="s">
        <v>3160</v>
      </c>
      <c r="BG201" t="str">
        <f>HYPERLINK("http://dx.doi.org/10.1017/S1461145707008395","http://dx.doi.org/10.1017/S1461145707008395")</f>
        <v>http://dx.doi.org/10.1017/S1461145707008395</v>
      </c>
      <c r="BH201" t="s">
        <v>74</v>
      </c>
      <c r="BI201" t="s">
        <v>74</v>
      </c>
      <c r="BJ201">
        <v>7</v>
      </c>
      <c r="BK201" t="s">
        <v>1289</v>
      </c>
      <c r="BL201" t="s">
        <v>1041</v>
      </c>
      <c r="BM201" t="s">
        <v>1290</v>
      </c>
      <c r="BN201" t="s">
        <v>3161</v>
      </c>
      <c r="BO201">
        <v>18205980</v>
      </c>
      <c r="BP201" t="s">
        <v>1552</v>
      </c>
      <c r="BQ201" t="s">
        <v>74</v>
      </c>
      <c r="BR201" t="s">
        <v>74</v>
      </c>
      <c r="BS201" t="s">
        <v>86</v>
      </c>
      <c r="BT201" t="s">
        <v>3162</v>
      </c>
      <c r="BU201" t="str">
        <f>HYPERLINK("https%3A%2F%2Fwww.webofscience.com%2Fwos%2Fwoscc%2Ffull-record%2FWOS:000264406300009","View Full Record in Web of Science")</f>
        <v>View Full Record in Web of Science</v>
      </c>
    </row>
  </sheetData>
  <autoFilter ref="V1:V201" xr:uid="{9A60A512-A949-E44C-926C-187E1B7DABA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lithium_combined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Martin Mitchell</dc:creator>
  <cp:lastModifiedBy>Philip Martin Mitchell</cp:lastModifiedBy>
  <dcterms:created xsi:type="dcterms:W3CDTF">2026-05-19T09:49:42Z</dcterms:created>
  <dcterms:modified xsi:type="dcterms:W3CDTF">2026-05-21T18:44:53Z</dcterms:modified>
</cp:coreProperties>
</file>